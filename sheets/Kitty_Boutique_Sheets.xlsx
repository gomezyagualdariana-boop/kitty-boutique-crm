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FFFFFFFF"/>
    </font>
    <font>
      <b val="1"/>
      <color rgb="00C4126F"/>
      <sz val="16"/>
    </font>
    <font>
      <b val="1"/>
      <color rgb="008A6B78"/>
      <sz val="10"/>
    </font>
    <font>
      <b val="1"/>
      <color rgb="00E91E8C"/>
      <sz val="18"/>
    </font>
  </fonts>
  <fills count="3">
    <fill>
      <patternFill/>
    </fill>
    <fill>
      <patternFill patternType="gray125"/>
    </fill>
    <fill>
      <patternFill patternType="solid">
        <fgColor rgb="00E91E8C"/>
        <bgColor rgb="00E91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00F3DA"/>
          <bgColor rgb="0000F3DA"/>
        </patternFill>
      </fill>
    </dxf>
    <dxf>
      <fill>
        <patternFill patternType="solid">
          <fgColor rgb="0000EEFB"/>
          <bgColor rgb="0000EEFB"/>
        </patternFill>
      </fill>
    </dxf>
    <dxf>
      <fill>
        <patternFill patternType="solid">
          <fgColor rgb="0000E6C8"/>
          <bgColor rgb="0000E6C8"/>
        </patternFill>
      </fill>
    </dxf>
    <dxf>
      <fill>
        <patternFill patternType="solid">
          <fgColor rgb="0000DEFB"/>
          <bgColor rgb="0000DEFB"/>
        </patternFill>
      </fill>
    </dxf>
    <dxf>
      <fill>
        <patternFill patternType="solid">
          <fgColor rgb="0000F5E6"/>
          <bgColor rgb="0000F5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Embudo por Estado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'Dashboard'!O3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'Dashboard'!$N$4:$N$8</f>
            </numRef>
          </cat>
          <val>
            <numRef>
              <f>'Dashboard'!$O$4:$O$8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por Fuente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'Dashboard'!O12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'Dashboard'!$N$13:$N$18</f>
            </numRef>
          </cat>
          <val>
            <numRef>
              <f>'Dashboard'!$O$13:$O$18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por Producto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'Dashboard'!R3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'Dashboard'!$Q$4:$Q$13</f>
            </numRef>
          </cat>
          <val>
            <numRef>
              <f>'Dashboard'!$R$4:$R$13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Generado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'Dashboard'!$Q$17:$Q$22</f>
            </numRef>
          </cat>
          <val>
            <numRef>
              <f>'Dashboard'!$R$17:$R$22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6</row>
      <rowOff>0</rowOff>
    </from>
    <ext cx="39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24</row>
      <rowOff>0</rowOff>
    </from>
    <ext cx="39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6" customWidth="1" min="4" max="4"/>
    <col width="16" customWidth="1" min="5" max="5"/>
    <col width="11" customWidth="1" min="6" max="6"/>
    <col width="16" customWidth="1" min="7" max="7"/>
    <col width="14" customWidth="1" min="8" max="8"/>
    <col width="11" customWidth="1" min="9" max="9"/>
    <col width="10" customWidth="1" min="10" max="10"/>
    <col width="32" customWidth="1" min="11" max="11"/>
    <col width="16" customWidth="1" min="12" max="12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Empresa</t>
        </is>
      </c>
      <c r="E1" s="1" t="inlineStr">
        <is>
          <t>Producto</t>
        </is>
      </c>
      <c r="F1" s="1" t="inlineStr">
        <is>
          <t>Valor USD</t>
        </is>
      </c>
      <c r="G1" s="1" t="inlineStr">
        <is>
          <t>Estado</t>
        </is>
      </c>
      <c r="H1" s="1" t="inlineStr">
        <is>
          <t>Fuente</t>
        </is>
      </c>
      <c r="I1" s="1" t="inlineStr">
        <is>
          <t>Prioridad</t>
        </is>
      </c>
      <c r="J1" s="1" t="inlineStr">
        <is>
          <t>Mes</t>
        </is>
      </c>
      <c r="K1" s="1" t="inlineStr">
        <is>
          <t>Notas</t>
        </is>
      </c>
      <c r="L1" s="1" t="inlineStr">
        <is>
          <t>Fecha Seguimiento</t>
        </is>
      </c>
    </row>
    <row r="2">
      <c r="A2" t="inlineStr">
        <is>
          <t>L1000</t>
        </is>
      </c>
      <c r="B2" t="inlineStr">
        <is>
          <t>03/01/2026</t>
        </is>
      </c>
      <c r="C2" t="inlineStr">
        <is>
          <t>Karla Cedeño</t>
        </is>
      </c>
      <c r="D2" t="inlineStr">
        <is>
          <t>Kitty Boutique</t>
        </is>
      </c>
      <c r="E2" t="inlineStr">
        <is>
          <t>Falda Jeans</t>
        </is>
      </c>
      <c r="F2" t="n">
        <v>9.08</v>
      </c>
      <c r="G2" t="inlineStr">
        <is>
          <t>En negociación</t>
        </is>
      </c>
      <c r="H2" t="inlineStr">
        <is>
          <t>Página Web</t>
        </is>
      </c>
      <c r="I2" t="inlineStr">
        <is>
          <t>Baja</t>
        </is>
      </c>
      <c r="J2" t="inlineStr">
        <is>
          <t>Enero</t>
        </is>
      </c>
      <c r="K2" t="inlineStr">
        <is>
          <t>Interesada en falda jeans</t>
        </is>
      </c>
      <c r="L2" t="inlineStr">
        <is>
          <t>09/01/2026</t>
        </is>
      </c>
    </row>
    <row r="3">
      <c r="A3" t="inlineStr">
        <is>
          <t>L1001</t>
        </is>
      </c>
      <c r="B3" t="inlineStr">
        <is>
          <t>04/01/2026</t>
        </is>
      </c>
      <c r="C3" t="inlineStr">
        <is>
          <t>Mishell Mendoza</t>
        </is>
      </c>
      <c r="D3" t="inlineStr">
        <is>
          <t>Kitty Boutique</t>
        </is>
      </c>
      <c r="E3" t="inlineStr">
        <is>
          <t>Top Elegante</t>
        </is>
      </c>
      <c r="F3" t="n">
        <v>7.05</v>
      </c>
      <c r="G3" t="inlineStr">
        <is>
          <t>Vendido</t>
        </is>
      </c>
      <c r="H3" t="inlineStr">
        <is>
          <t>Instagram</t>
        </is>
      </c>
      <c r="I3" t="inlineStr">
        <is>
          <t>Alta</t>
        </is>
      </c>
      <c r="J3" t="inlineStr">
        <is>
          <t>Enero</t>
        </is>
      </c>
      <c r="K3" t="inlineStr">
        <is>
          <t>Interesada en top elegante</t>
        </is>
      </c>
      <c r="L3" t="inlineStr">
        <is>
          <t>24/01/2026</t>
        </is>
      </c>
    </row>
    <row r="4">
      <c r="A4" t="inlineStr">
        <is>
          <t>L1002</t>
        </is>
      </c>
      <c r="B4" t="inlineStr">
        <is>
          <t>05/01/2026</t>
        </is>
      </c>
      <c r="C4" t="inlineStr">
        <is>
          <t>Daniela Reyes</t>
        </is>
      </c>
      <c r="D4" t="inlineStr">
        <is>
          <t>Kitty Boutique</t>
        </is>
      </c>
      <c r="E4" t="inlineStr">
        <is>
          <t>Falda Jeans</t>
        </is>
      </c>
      <c r="F4" t="n">
        <v>14.26</v>
      </c>
      <c r="G4" t="inlineStr">
        <is>
          <t>Vendido</t>
        </is>
      </c>
      <c r="H4" t="inlineStr">
        <is>
          <t>TikTok</t>
        </is>
      </c>
      <c r="I4" t="inlineStr">
        <is>
          <t>Baja</t>
        </is>
      </c>
      <c r="J4" t="inlineStr">
        <is>
          <t>Enero</t>
        </is>
      </c>
      <c r="K4" t="inlineStr">
        <is>
          <t>Interesada en falda jeans</t>
        </is>
      </c>
      <c r="L4" t="inlineStr">
        <is>
          <t>27/01/2026</t>
        </is>
      </c>
    </row>
    <row r="5">
      <c r="A5" t="inlineStr">
        <is>
          <t>L1003</t>
        </is>
      </c>
      <c r="B5" t="inlineStr">
        <is>
          <t>06/01/2026</t>
        </is>
      </c>
      <c r="C5" t="inlineStr">
        <is>
          <t>Andrea Vélez</t>
        </is>
      </c>
      <c r="D5" t="inlineStr">
        <is>
          <t>Kitty Boutique</t>
        </is>
      </c>
      <c r="E5" t="inlineStr">
        <is>
          <t>Accesorios</t>
        </is>
      </c>
      <c r="F5" t="n">
        <v>9.380000000000001</v>
      </c>
      <c r="G5" t="inlineStr">
        <is>
          <t>Apartado</t>
        </is>
      </c>
      <c r="H5" t="inlineStr">
        <is>
          <t>Facebook</t>
        </is>
      </c>
      <c r="I5" t="inlineStr">
        <is>
          <t>Alta</t>
        </is>
      </c>
      <c r="J5" t="inlineStr">
        <is>
          <t>Enero</t>
        </is>
      </c>
      <c r="K5" t="inlineStr">
        <is>
          <t>Interesada en accesorios</t>
        </is>
      </c>
      <c r="L5" t="inlineStr">
        <is>
          <t>09/01/2026</t>
        </is>
      </c>
    </row>
    <row r="6">
      <c r="A6" t="inlineStr">
        <is>
          <t>L1004</t>
        </is>
      </c>
      <c r="B6" t="inlineStr">
        <is>
          <t>06/01/2026</t>
        </is>
      </c>
      <c r="C6" t="inlineStr">
        <is>
          <t>Camila Borbor</t>
        </is>
      </c>
      <c r="D6" t="inlineStr">
        <is>
          <t>Kitty Boutique</t>
        </is>
      </c>
      <c r="E6" t="inlineStr">
        <is>
          <t>Top Elegante</t>
        </is>
      </c>
      <c r="F6" t="n">
        <v>11.39</v>
      </c>
      <c r="G6" t="inlineStr">
        <is>
          <t>En negociación</t>
        </is>
      </c>
      <c r="H6" t="inlineStr">
        <is>
          <t>Página Web</t>
        </is>
      </c>
      <c r="I6" t="inlineStr">
        <is>
          <t>Baja</t>
        </is>
      </c>
      <c r="J6" t="inlineStr">
        <is>
          <t>Enero</t>
        </is>
      </c>
      <c r="K6" t="inlineStr">
        <is>
          <t>Interesada en top elegante</t>
        </is>
      </c>
      <c r="L6" t="inlineStr">
        <is>
          <t>21/01/2026</t>
        </is>
      </c>
    </row>
    <row r="7">
      <c r="A7" t="inlineStr">
        <is>
          <t>L1005</t>
        </is>
      </c>
      <c r="B7" t="inlineStr">
        <is>
          <t>09/01/2026</t>
        </is>
      </c>
      <c r="C7" t="inlineStr">
        <is>
          <t>Nicole Reyes</t>
        </is>
      </c>
      <c r="D7" t="inlineStr">
        <is>
          <t>Kitty Boutique</t>
        </is>
      </c>
      <c r="E7" t="inlineStr">
        <is>
          <t>Top Elegante</t>
        </is>
      </c>
      <c r="F7" t="n">
        <v>11.92</v>
      </c>
      <c r="G7" t="inlineStr">
        <is>
          <t>Apartado</t>
        </is>
      </c>
      <c r="H7" t="inlineStr">
        <is>
          <t>WhatsApp</t>
        </is>
      </c>
      <c r="I7" t="inlineStr">
        <is>
          <t>Baja</t>
        </is>
      </c>
      <c r="J7" t="inlineStr">
        <is>
          <t>Enero</t>
        </is>
      </c>
      <c r="K7" t="inlineStr">
        <is>
          <t>Interesada en top elegante</t>
        </is>
      </c>
      <c r="L7" t="inlineStr">
        <is>
          <t>29/01/2026</t>
        </is>
      </c>
    </row>
    <row r="8">
      <c r="A8" t="inlineStr">
        <is>
          <t>L1006</t>
        </is>
      </c>
      <c r="B8" t="inlineStr">
        <is>
          <t>10/01/2026</t>
        </is>
      </c>
      <c r="C8" t="inlineStr">
        <is>
          <t>Cinthya Cedeño</t>
        </is>
      </c>
      <c r="D8" t="inlineStr">
        <is>
          <t>Kitty Boutique</t>
        </is>
      </c>
      <c r="E8" t="inlineStr">
        <is>
          <t>Conjunto Casual</t>
        </is>
      </c>
      <c r="F8" t="n">
        <v>20.8</v>
      </c>
      <c r="G8" t="inlineStr">
        <is>
          <t>Pendiente</t>
        </is>
      </c>
      <c r="H8" t="inlineStr">
        <is>
          <t>Página Web</t>
        </is>
      </c>
      <c r="I8" t="inlineStr">
        <is>
          <t>Alta</t>
        </is>
      </c>
      <c r="J8" t="inlineStr">
        <is>
          <t>Enero</t>
        </is>
      </c>
      <c r="K8" t="inlineStr">
        <is>
          <t>Interesada en conjunto casual</t>
        </is>
      </c>
      <c r="L8" t="inlineStr">
        <is>
          <t>31/01/2026</t>
        </is>
      </c>
    </row>
    <row r="9">
      <c r="A9" t="inlineStr">
        <is>
          <t>L1007</t>
        </is>
      </c>
      <c r="B9" t="inlineStr">
        <is>
          <t>10/01/2026</t>
        </is>
      </c>
      <c r="C9" t="inlineStr">
        <is>
          <t>Johanna Pincay</t>
        </is>
      </c>
      <c r="D9" t="inlineStr">
        <is>
          <t>Kitty Boutique</t>
        </is>
      </c>
      <c r="E9" t="inlineStr">
        <is>
          <t>Bolso Fashion</t>
        </is>
      </c>
      <c r="F9" t="n">
        <v>9.51</v>
      </c>
      <c r="G9" t="inlineStr">
        <is>
          <t>Apartado</t>
        </is>
      </c>
      <c r="H9" t="inlineStr">
        <is>
          <t>Facebook</t>
        </is>
      </c>
      <c r="I9" t="inlineStr">
        <is>
          <t>Alta</t>
        </is>
      </c>
      <c r="J9" t="inlineStr">
        <is>
          <t>Enero</t>
        </is>
      </c>
      <c r="K9" t="inlineStr">
        <is>
          <t>Interesada en bolso fashion</t>
        </is>
      </c>
      <c r="L9" t="inlineStr">
        <is>
          <t>25/01/2026</t>
        </is>
      </c>
    </row>
    <row r="10">
      <c r="A10" t="inlineStr">
        <is>
          <t>L1008</t>
        </is>
      </c>
      <c r="B10" t="inlineStr">
        <is>
          <t>14/01/2026</t>
        </is>
      </c>
      <c r="C10" t="inlineStr">
        <is>
          <t>Johanna Suárez</t>
        </is>
      </c>
      <c r="D10" t="inlineStr">
        <is>
          <t>Kitty Boutique</t>
        </is>
      </c>
      <c r="E10" t="inlineStr">
        <is>
          <t>Top Elegante</t>
        </is>
      </c>
      <c r="F10" t="n">
        <v>16.38</v>
      </c>
      <c r="G10" t="inlineStr">
        <is>
          <t>Vendido</t>
        </is>
      </c>
      <c r="H10" t="inlineStr">
        <is>
          <t>Instagram</t>
        </is>
      </c>
      <c r="I10" t="inlineStr">
        <is>
          <t>Alta</t>
        </is>
      </c>
      <c r="J10" t="inlineStr">
        <is>
          <t>Enero</t>
        </is>
      </c>
      <c r="K10" t="inlineStr">
        <is>
          <t>Interesada en top elegante</t>
        </is>
      </c>
      <c r="L10" t="inlineStr">
        <is>
          <t>25/01/2026</t>
        </is>
      </c>
    </row>
    <row r="11">
      <c r="A11" t="inlineStr">
        <is>
          <t>L1009</t>
        </is>
      </c>
      <c r="B11" t="inlineStr">
        <is>
          <t>14/01/2026</t>
        </is>
      </c>
      <c r="C11" t="inlineStr">
        <is>
          <t>Karla Torres</t>
        </is>
      </c>
      <c r="D11" t="inlineStr">
        <is>
          <t>Kitty Boutique</t>
        </is>
      </c>
      <c r="E11" t="inlineStr">
        <is>
          <t>Bolso Fashion</t>
        </is>
      </c>
      <c r="F11" t="n">
        <v>22.09</v>
      </c>
      <c r="G11" t="inlineStr">
        <is>
          <t>Vendido</t>
        </is>
      </c>
      <c r="H11" t="inlineStr">
        <is>
          <t>Página Web</t>
        </is>
      </c>
      <c r="I11" t="inlineStr">
        <is>
          <t>Alta</t>
        </is>
      </c>
      <c r="J11" t="inlineStr">
        <is>
          <t>Enero</t>
        </is>
      </c>
      <c r="K11" t="inlineStr">
        <is>
          <t>Interesada en bolso fashion</t>
        </is>
      </c>
      <c r="L11" t="inlineStr">
        <is>
          <t>29/01/2026</t>
        </is>
      </c>
    </row>
    <row r="12">
      <c r="A12" t="inlineStr">
        <is>
          <t>L1010</t>
        </is>
      </c>
      <c r="B12" t="inlineStr">
        <is>
          <t>15/01/2026</t>
        </is>
      </c>
      <c r="C12" t="inlineStr">
        <is>
          <t>Nicole Zambrano</t>
        </is>
      </c>
      <c r="D12" t="inlineStr">
        <is>
          <t>Kitty Boutique</t>
        </is>
      </c>
      <c r="E12" t="inlineStr">
        <is>
          <t>Vestido Floral</t>
        </is>
      </c>
      <c r="F12" t="n">
        <v>23.39</v>
      </c>
      <c r="G12" t="inlineStr">
        <is>
          <t>En negociación</t>
        </is>
      </c>
      <c r="H12" t="inlineStr">
        <is>
          <t>Referido</t>
        </is>
      </c>
      <c r="I12" t="inlineStr">
        <is>
          <t>Baja</t>
        </is>
      </c>
      <c r="J12" t="inlineStr">
        <is>
          <t>Enero</t>
        </is>
      </c>
      <c r="K12" t="inlineStr">
        <is>
          <t>Interesada en vestido floral</t>
        </is>
      </c>
      <c r="L12" t="inlineStr">
        <is>
          <t>28/01/2026</t>
        </is>
      </c>
    </row>
    <row r="13">
      <c r="A13" t="inlineStr">
        <is>
          <t>L1011</t>
        </is>
      </c>
      <c r="B13" t="inlineStr">
        <is>
          <t>17/01/2026</t>
        </is>
      </c>
      <c r="C13" t="inlineStr">
        <is>
          <t>Johanna Yagual</t>
        </is>
      </c>
      <c r="D13" t="inlineStr">
        <is>
          <t>Kitty Boutique</t>
        </is>
      </c>
      <c r="E13" t="inlineStr">
        <is>
          <t>Blusa Casual</t>
        </is>
      </c>
      <c r="F13" t="n">
        <v>9.140000000000001</v>
      </c>
      <c r="G13" t="inlineStr">
        <is>
          <t>Apartado</t>
        </is>
      </c>
      <c r="H13" t="inlineStr">
        <is>
          <t>Instagram</t>
        </is>
      </c>
      <c r="I13" t="inlineStr">
        <is>
          <t>Alta</t>
        </is>
      </c>
      <c r="J13" t="inlineStr">
        <is>
          <t>Enero</t>
        </is>
      </c>
      <c r="K13" t="inlineStr">
        <is>
          <t>Interesada en blusa casual</t>
        </is>
      </c>
      <c r="L13" t="inlineStr">
        <is>
          <t>26/01/2026</t>
        </is>
      </c>
    </row>
    <row r="14">
      <c r="A14" t="inlineStr">
        <is>
          <t>L1012</t>
        </is>
      </c>
      <c r="B14" t="inlineStr">
        <is>
          <t>19/01/2026</t>
        </is>
      </c>
      <c r="C14" t="inlineStr">
        <is>
          <t>Jazmín Chávez</t>
        </is>
      </c>
      <c r="D14" t="inlineStr">
        <is>
          <t>Kitty Boutique</t>
        </is>
      </c>
      <c r="E14" t="inlineStr">
        <is>
          <t>Pantalón Jeans</t>
        </is>
      </c>
      <c r="F14" t="n">
        <v>14.43</v>
      </c>
      <c r="G14" t="inlineStr">
        <is>
          <t>En negociación</t>
        </is>
      </c>
      <c r="H14" t="inlineStr">
        <is>
          <t>Referido</t>
        </is>
      </c>
      <c r="I14" t="inlineStr">
        <is>
          <t>Media</t>
        </is>
      </c>
      <c r="J14" t="inlineStr">
        <is>
          <t>Enero</t>
        </is>
      </c>
      <c r="K14" t="inlineStr">
        <is>
          <t>Interesada en pantalón jeans</t>
        </is>
      </c>
      <c r="L14" t="inlineStr">
        <is>
          <t>08/02/2026</t>
        </is>
      </c>
    </row>
    <row r="15">
      <c r="A15" t="inlineStr">
        <is>
          <t>L1013</t>
        </is>
      </c>
      <c r="B15" t="inlineStr">
        <is>
          <t>20/01/2026</t>
        </is>
      </c>
      <c r="C15" t="inlineStr">
        <is>
          <t>Ximena Rodríguez</t>
        </is>
      </c>
      <c r="D15" t="inlineStr">
        <is>
          <t>Kitty Boutique</t>
        </is>
      </c>
      <c r="E15" t="inlineStr">
        <is>
          <t>Accesorios</t>
        </is>
      </c>
      <c r="F15" t="n">
        <v>20.48</v>
      </c>
      <c r="G15" t="inlineStr">
        <is>
          <t>Vendido</t>
        </is>
      </c>
      <c r="H15" t="inlineStr">
        <is>
          <t>Página Web</t>
        </is>
      </c>
      <c r="I15" t="inlineStr">
        <is>
          <t>Alta</t>
        </is>
      </c>
      <c r="J15" t="inlineStr">
        <is>
          <t>Enero</t>
        </is>
      </c>
      <c r="K15" t="inlineStr">
        <is>
          <t>Interesada en accesorios</t>
        </is>
      </c>
      <c r="L15" t="inlineStr">
        <is>
          <t>30/01/2026</t>
        </is>
      </c>
    </row>
    <row r="16">
      <c r="A16" t="inlineStr">
        <is>
          <t>L1014</t>
        </is>
      </c>
      <c r="B16" t="inlineStr">
        <is>
          <t>22/01/2026</t>
        </is>
      </c>
      <c r="C16" t="inlineStr">
        <is>
          <t>Nicole Loor</t>
        </is>
      </c>
      <c r="D16" t="inlineStr">
        <is>
          <t>Kitty Boutique</t>
        </is>
      </c>
      <c r="E16" t="inlineStr">
        <is>
          <t>Vestido Floral</t>
        </is>
      </c>
      <c r="F16" t="n">
        <v>13.56</v>
      </c>
      <c r="G16" t="inlineStr">
        <is>
          <t>Vendido</t>
        </is>
      </c>
      <c r="H16" t="inlineStr">
        <is>
          <t>TikTok</t>
        </is>
      </c>
      <c r="I16" t="inlineStr">
        <is>
          <t>Baja</t>
        </is>
      </c>
      <c r="J16" t="inlineStr">
        <is>
          <t>Enero</t>
        </is>
      </c>
      <c r="K16" t="inlineStr">
        <is>
          <t>Interesada en vestido floral</t>
        </is>
      </c>
      <c r="L16" t="inlineStr">
        <is>
          <t>30/01/2026</t>
        </is>
      </c>
    </row>
    <row r="17">
      <c r="A17" t="inlineStr">
        <is>
          <t>L1015</t>
        </is>
      </c>
      <c r="B17" t="inlineStr">
        <is>
          <t>23/01/2026</t>
        </is>
      </c>
      <c r="C17" t="inlineStr">
        <is>
          <t>Doménica Reyes</t>
        </is>
      </c>
      <c r="D17" t="inlineStr">
        <is>
          <t>Kitty Boutique</t>
        </is>
      </c>
      <c r="E17" t="inlineStr">
        <is>
          <t>Falda Jeans</t>
        </is>
      </c>
      <c r="F17" t="n">
        <v>20.39</v>
      </c>
      <c r="G17" t="inlineStr">
        <is>
          <t>Pendiente</t>
        </is>
      </c>
      <c r="H17" t="inlineStr">
        <is>
          <t>WhatsApp</t>
        </is>
      </c>
      <c r="I17" t="inlineStr">
        <is>
          <t>Media</t>
        </is>
      </c>
      <c r="J17" t="inlineStr">
        <is>
          <t>Enero</t>
        </is>
      </c>
      <c r="K17" t="inlineStr">
        <is>
          <t>Interesada en falda jeans</t>
        </is>
      </c>
      <c r="L17" t="inlineStr">
        <is>
          <t>12/02/2026</t>
        </is>
      </c>
    </row>
    <row r="18">
      <c r="A18" t="inlineStr">
        <is>
          <t>L1016</t>
        </is>
      </c>
      <c r="B18" t="inlineStr">
        <is>
          <t>23/01/2026</t>
        </is>
      </c>
      <c r="C18" t="inlineStr">
        <is>
          <t>Paola Panchana</t>
        </is>
      </c>
      <c r="D18" t="inlineStr">
        <is>
          <t>Kitty Boutique</t>
        </is>
      </c>
      <c r="E18" t="inlineStr">
        <is>
          <t>Vestido Floral</t>
        </is>
      </c>
      <c r="F18" t="n">
        <v>24.15</v>
      </c>
      <c r="G18" t="inlineStr">
        <is>
          <t>Contactada</t>
        </is>
      </c>
      <c r="H18" t="inlineStr">
        <is>
          <t>WhatsApp</t>
        </is>
      </c>
      <c r="I18" t="inlineStr">
        <is>
          <t>Media</t>
        </is>
      </c>
      <c r="J18" t="inlineStr">
        <is>
          <t>Enero</t>
        </is>
      </c>
      <c r="K18" t="inlineStr">
        <is>
          <t>Interesada en vestido floral</t>
        </is>
      </c>
      <c r="L18" t="inlineStr">
        <is>
          <t>04/02/2026</t>
        </is>
      </c>
    </row>
    <row r="19">
      <c r="A19" t="inlineStr">
        <is>
          <t>L1017</t>
        </is>
      </c>
      <c r="B19" t="inlineStr">
        <is>
          <t>26/01/2026</t>
        </is>
      </c>
      <c r="C19" t="inlineStr">
        <is>
          <t>Johanna Macías</t>
        </is>
      </c>
      <c r="D19" t="inlineStr">
        <is>
          <t>Kitty Boutique</t>
        </is>
      </c>
      <c r="E19" t="inlineStr">
        <is>
          <t>Pantalón Jeans</t>
        </is>
      </c>
      <c r="F19" t="n">
        <v>22.07</v>
      </c>
      <c r="G19" t="inlineStr">
        <is>
          <t>Pendiente</t>
        </is>
      </c>
      <c r="H19" t="inlineStr">
        <is>
          <t>Referido</t>
        </is>
      </c>
      <c r="I19" t="inlineStr">
        <is>
          <t>Baja</t>
        </is>
      </c>
      <c r="J19" t="inlineStr">
        <is>
          <t>Enero</t>
        </is>
      </c>
      <c r="K19" t="inlineStr">
        <is>
          <t>Interesada en pantalón jeans</t>
        </is>
      </c>
      <c r="L19" t="inlineStr">
        <is>
          <t>03/02/2026</t>
        </is>
      </c>
    </row>
    <row r="20">
      <c r="A20" t="inlineStr">
        <is>
          <t>L1018</t>
        </is>
      </c>
      <c r="B20" t="inlineStr">
        <is>
          <t>26/01/2026</t>
        </is>
      </c>
      <c r="C20" t="inlineStr">
        <is>
          <t>Yadira Bravo</t>
        </is>
      </c>
      <c r="D20" t="inlineStr">
        <is>
          <t>Kitty Boutique</t>
        </is>
      </c>
      <c r="E20" t="inlineStr">
        <is>
          <t>Blazer Mujer</t>
        </is>
      </c>
      <c r="F20" t="n">
        <v>23.49</v>
      </c>
      <c r="G20" t="inlineStr">
        <is>
          <t>Contactada</t>
        </is>
      </c>
      <c r="H20" t="inlineStr">
        <is>
          <t>Referido</t>
        </is>
      </c>
      <c r="I20" t="inlineStr">
        <is>
          <t>Media</t>
        </is>
      </c>
      <c r="J20" t="inlineStr">
        <is>
          <t>Enero</t>
        </is>
      </c>
      <c r="K20" t="inlineStr">
        <is>
          <t>Interesada en blazer mujer</t>
        </is>
      </c>
      <c r="L20" t="inlineStr">
        <is>
          <t>02/02/2026</t>
        </is>
      </c>
    </row>
    <row r="21">
      <c r="A21" t="inlineStr">
        <is>
          <t>L1019</t>
        </is>
      </c>
      <c r="B21" t="inlineStr">
        <is>
          <t>28/01/2026</t>
        </is>
      </c>
      <c r="C21" t="inlineStr">
        <is>
          <t>Valeria Cedeño</t>
        </is>
      </c>
      <c r="D21" t="inlineStr">
        <is>
          <t>Kitty Boutique</t>
        </is>
      </c>
      <c r="E21" t="inlineStr">
        <is>
          <t>Top Elegante</t>
        </is>
      </c>
      <c r="F21" t="n">
        <v>7.57</v>
      </c>
      <c r="G21" t="inlineStr">
        <is>
          <t>En negociación</t>
        </is>
      </c>
      <c r="H21" t="inlineStr">
        <is>
          <t>Referido</t>
        </is>
      </c>
      <c r="I21" t="inlineStr">
        <is>
          <t>Alta</t>
        </is>
      </c>
      <c r="J21" t="inlineStr">
        <is>
          <t>Enero</t>
        </is>
      </c>
      <c r="K21" t="inlineStr">
        <is>
          <t>Interesada en top elegante</t>
        </is>
      </c>
      <c r="L21" t="inlineStr">
        <is>
          <t>31/01/2026</t>
        </is>
      </c>
    </row>
    <row r="22">
      <c r="A22" t="inlineStr">
        <is>
          <t>L1020</t>
        </is>
      </c>
      <c r="B22" t="inlineStr">
        <is>
          <t>29/01/2026</t>
        </is>
      </c>
      <c r="C22" t="inlineStr">
        <is>
          <t>Liseth Alvarado</t>
        </is>
      </c>
      <c r="D22" t="inlineStr">
        <is>
          <t>Kitty Boutique</t>
        </is>
      </c>
      <c r="E22" t="inlineStr">
        <is>
          <t>Top Elegante</t>
        </is>
      </c>
      <c r="F22" t="n">
        <v>8.880000000000001</v>
      </c>
      <c r="G22" t="inlineStr">
        <is>
          <t>Vendido</t>
        </is>
      </c>
      <c r="H22" t="inlineStr">
        <is>
          <t>TikTok</t>
        </is>
      </c>
      <c r="I22" t="inlineStr">
        <is>
          <t>Baja</t>
        </is>
      </c>
      <c r="J22" t="inlineStr">
        <is>
          <t>Enero</t>
        </is>
      </c>
      <c r="K22" t="inlineStr">
        <is>
          <t>Interesada en top elegante</t>
        </is>
      </c>
      <c r="L22" t="inlineStr">
        <is>
          <t>16/02/2026</t>
        </is>
      </c>
    </row>
    <row r="23">
      <c r="A23" t="inlineStr">
        <is>
          <t>L1021</t>
        </is>
      </c>
      <c r="B23" t="inlineStr">
        <is>
          <t>30/01/2026</t>
        </is>
      </c>
      <c r="C23" t="inlineStr">
        <is>
          <t>Mishell Zambrano</t>
        </is>
      </c>
      <c r="D23" t="inlineStr">
        <is>
          <t>Kitty Boutique</t>
        </is>
      </c>
      <c r="E23" t="inlineStr">
        <is>
          <t>Pantalón Jeans</t>
        </is>
      </c>
      <c r="F23" t="n">
        <v>23.68</v>
      </c>
      <c r="G23" t="inlineStr">
        <is>
          <t>Vendido</t>
        </is>
      </c>
      <c r="H23" t="inlineStr">
        <is>
          <t>WhatsApp</t>
        </is>
      </c>
      <c r="I23" t="inlineStr">
        <is>
          <t>Baja</t>
        </is>
      </c>
      <c r="J23" t="inlineStr">
        <is>
          <t>Enero</t>
        </is>
      </c>
      <c r="K23" t="inlineStr">
        <is>
          <t>Interesada en pantalón jeans</t>
        </is>
      </c>
      <c r="L23" t="inlineStr">
        <is>
          <t>10/02/2026</t>
        </is>
      </c>
    </row>
    <row r="24">
      <c r="A24" t="inlineStr">
        <is>
          <t>L1022</t>
        </is>
      </c>
      <c r="B24" t="inlineStr">
        <is>
          <t>31/01/2026</t>
        </is>
      </c>
      <c r="C24" t="inlineStr">
        <is>
          <t>Doménica Pincay</t>
        </is>
      </c>
      <c r="D24" t="inlineStr">
        <is>
          <t>Kitty Boutique</t>
        </is>
      </c>
      <c r="E24" t="inlineStr">
        <is>
          <t>Bolso Fashion</t>
        </is>
      </c>
      <c r="F24" t="n">
        <v>14.6</v>
      </c>
      <c r="G24" t="inlineStr">
        <is>
          <t>Apartado</t>
        </is>
      </c>
      <c r="H24" t="inlineStr">
        <is>
          <t>Referido</t>
        </is>
      </c>
      <c r="I24" t="inlineStr">
        <is>
          <t>Media</t>
        </is>
      </c>
      <c r="J24" t="inlineStr">
        <is>
          <t>Enero</t>
        </is>
      </c>
      <c r="K24" t="inlineStr">
        <is>
          <t>Interesada en bolso fashion</t>
        </is>
      </c>
      <c r="L24" t="inlineStr">
        <is>
          <t>25/02/2026</t>
        </is>
      </c>
    </row>
    <row r="25">
      <c r="A25" t="inlineStr">
        <is>
          <t>L1023</t>
        </is>
      </c>
      <c r="B25" t="inlineStr">
        <is>
          <t>02/02/2026</t>
        </is>
      </c>
      <c r="C25" t="inlineStr">
        <is>
          <t>Andrea Panchana</t>
        </is>
      </c>
      <c r="D25" t="inlineStr">
        <is>
          <t>Kitty Boutique</t>
        </is>
      </c>
      <c r="E25" t="inlineStr">
        <is>
          <t>Conjunto Casual</t>
        </is>
      </c>
      <c r="F25" t="n">
        <v>17.38</v>
      </c>
      <c r="G25" t="inlineStr">
        <is>
          <t>Pendiente</t>
        </is>
      </c>
      <c r="H25" t="inlineStr">
        <is>
          <t>Instagram</t>
        </is>
      </c>
      <c r="I25" t="inlineStr">
        <is>
          <t>Baja</t>
        </is>
      </c>
      <c r="J25" t="inlineStr">
        <is>
          <t>Febrero</t>
        </is>
      </c>
      <c r="K25" t="inlineStr">
        <is>
          <t>Interesada en conjunto casual</t>
        </is>
      </c>
      <c r="L25" t="inlineStr">
        <is>
          <t>12/02/2026</t>
        </is>
      </c>
    </row>
    <row r="26">
      <c r="A26" t="inlineStr">
        <is>
          <t>L1024</t>
        </is>
      </c>
      <c r="B26" t="inlineStr">
        <is>
          <t>03/02/2026</t>
        </is>
      </c>
      <c r="C26" t="inlineStr">
        <is>
          <t>Karla Rodríguez</t>
        </is>
      </c>
      <c r="D26" t="inlineStr">
        <is>
          <t>Kitty Boutique</t>
        </is>
      </c>
      <c r="E26" t="inlineStr">
        <is>
          <t>Top Elegante</t>
        </is>
      </c>
      <c r="F26" t="n">
        <v>23.25</v>
      </c>
      <c r="G26" t="inlineStr">
        <is>
          <t>Pendiente</t>
        </is>
      </c>
      <c r="H26" t="inlineStr">
        <is>
          <t>Facebook</t>
        </is>
      </c>
      <c r="I26" t="inlineStr">
        <is>
          <t>Alta</t>
        </is>
      </c>
      <c r="J26" t="inlineStr">
        <is>
          <t>Febrero</t>
        </is>
      </c>
      <c r="K26" t="inlineStr">
        <is>
          <t>Interesada en top elegante</t>
        </is>
      </c>
      <c r="L26" t="inlineStr">
        <is>
          <t>06/02/2026</t>
        </is>
      </c>
    </row>
    <row r="27">
      <c r="A27" t="inlineStr">
        <is>
          <t>L1025</t>
        </is>
      </c>
      <c r="B27" t="inlineStr">
        <is>
          <t>07/02/2026</t>
        </is>
      </c>
      <c r="C27" t="inlineStr">
        <is>
          <t>Daniela Reyes</t>
        </is>
      </c>
      <c r="D27" t="inlineStr">
        <is>
          <t>Kitty Boutique</t>
        </is>
      </c>
      <c r="E27" t="inlineStr">
        <is>
          <t>Bolso Fashion</t>
        </is>
      </c>
      <c r="F27" t="n">
        <v>8.949999999999999</v>
      </c>
      <c r="G27" t="inlineStr">
        <is>
          <t>Apartado</t>
        </is>
      </c>
      <c r="H27" t="inlineStr">
        <is>
          <t>Referido</t>
        </is>
      </c>
      <c r="I27" t="inlineStr">
        <is>
          <t>Baja</t>
        </is>
      </c>
      <c r="J27" t="inlineStr">
        <is>
          <t>Febrero</t>
        </is>
      </c>
      <c r="K27" t="inlineStr">
        <is>
          <t>Interesada en bolso fashion</t>
        </is>
      </c>
      <c r="L27" t="inlineStr">
        <is>
          <t>17/02/2026</t>
        </is>
      </c>
    </row>
    <row r="28">
      <c r="A28" t="inlineStr">
        <is>
          <t>L1026</t>
        </is>
      </c>
      <c r="B28" t="inlineStr">
        <is>
          <t>07/02/2026</t>
        </is>
      </c>
      <c r="C28" t="inlineStr">
        <is>
          <t>Daniela Gómez</t>
        </is>
      </c>
      <c r="D28" t="inlineStr">
        <is>
          <t>Kitty Boutique</t>
        </is>
      </c>
      <c r="E28" t="inlineStr">
        <is>
          <t>Blusa Casual</t>
        </is>
      </c>
      <c r="F28" t="n">
        <v>8.289999999999999</v>
      </c>
      <c r="G28" t="inlineStr">
        <is>
          <t>Apartado</t>
        </is>
      </c>
      <c r="H28" t="inlineStr">
        <is>
          <t>TikTok</t>
        </is>
      </c>
      <c r="I28" t="inlineStr">
        <is>
          <t>Media</t>
        </is>
      </c>
      <c r="J28" t="inlineStr">
        <is>
          <t>Febrero</t>
        </is>
      </c>
      <c r="K28" t="inlineStr">
        <is>
          <t>Interesada en blusa casual</t>
        </is>
      </c>
      <c r="L28" t="inlineStr">
        <is>
          <t>17/02/2026</t>
        </is>
      </c>
    </row>
    <row r="29">
      <c r="A29" t="inlineStr">
        <is>
          <t>L1027</t>
        </is>
      </c>
      <c r="B29" t="inlineStr">
        <is>
          <t>08/02/2026</t>
        </is>
      </c>
      <c r="C29" t="inlineStr">
        <is>
          <t>Doménica Gómez</t>
        </is>
      </c>
      <c r="D29" t="inlineStr">
        <is>
          <t>Kitty Boutique</t>
        </is>
      </c>
      <c r="E29" t="inlineStr">
        <is>
          <t>Blusa Casual</t>
        </is>
      </c>
      <c r="F29" t="n">
        <v>7.62</v>
      </c>
      <c r="G29" t="inlineStr">
        <is>
          <t>Pendiente</t>
        </is>
      </c>
      <c r="H29" t="inlineStr">
        <is>
          <t>WhatsApp</t>
        </is>
      </c>
      <c r="I29" t="inlineStr">
        <is>
          <t>Media</t>
        </is>
      </c>
      <c r="J29" t="inlineStr">
        <is>
          <t>Febrero</t>
        </is>
      </c>
      <c r="K29" t="inlineStr">
        <is>
          <t>Interesada en blusa casual</t>
        </is>
      </c>
      <c r="L29" t="inlineStr">
        <is>
          <t>24/02/2026</t>
        </is>
      </c>
    </row>
    <row r="30">
      <c r="A30" t="inlineStr">
        <is>
          <t>L1028</t>
        </is>
      </c>
      <c r="B30" t="inlineStr">
        <is>
          <t>09/02/2026</t>
        </is>
      </c>
      <c r="C30" t="inlineStr">
        <is>
          <t>Yadira Yagual</t>
        </is>
      </c>
      <c r="D30" t="inlineStr">
        <is>
          <t>Kitty Boutique</t>
        </is>
      </c>
      <c r="E30" t="inlineStr">
        <is>
          <t>Conjunto Casual</t>
        </is>
      </c>
      <c r="F30" t="n">
        <v>9.09</v>
      </c>
      <c r="G30" t="inlineStr">
        <is>
          <t>Contactada</t>
        </is>
      </c>
      <c r="H30" t="inlineStr">
        <is>
          <t>Instagram</t>
        </is>
      </c>
      <c r="I30" t="inlineStr">
        <is>
          <t>Media</t>
        </is>
      </c>
      <c r="J30" t="inlineStr">
        <is>
          <t>Febrero</t>
        </is>
      </c>
      <c r="K30" t="inlineStr">
        <is>
          <t>Interesada en conjunto casual</t>
        </is>
      </c>
      <c r="L30" t="inlineStr">
        <is>
          <t>19/02/2026</t>
        </is>
      </c>
    </row>
    <row r="31">
      <c r="A31" t="inlineStr">
        <is>
          <t>L1029</t>
        </is>
      </c>
      <c r="B31" t="inlineStr">
        <is>
          <t>11/02/2026</t>
        </is>
      </c>
      <c r="C31" t="inlineStr">
        <is>
          <t>Yadira Gómez</t>
        </is>
      </c>
      <c r="D31" t="inlineStr">
        <is>
          <t>Kitty Boutique</t>
        </is>
      </c>
      <c r="E31" t="inlineStr">
        <is>
          <t>Top Elegante</t>
        </is>
      </c>
      <c r="F31" t="n">
        <v>7.44</v>
      </c>
      <c r="G31" t="inlineStr">
        <is>
          <t>Apartado</t>
        </is>
      </c>
      <c r="H31" t="inlineStr">
        <is>
          <t>Referido</t>
        </is>
      </c>
      <c r="I31" t="inlineStr">
        <is>
          <t>Alta</t>
        </is>
      </c>
      <c r="J31" t="inlineStr">
        <is>
          <t>Febrero</t>
        </is>
      </c>
      <c r="K31" t="inlineStr">
        <is>
          <t>Interesada en top elegante</t>
        </is>
      </c>
      <c r="L31" t="inlineStr">
        <is>
          <t>21/02/2026</t>
        </is>
      </c>
    </row>
    <row r="32">
      <c r="A32" t="inlineStr">
        <is>
          <t>L1030</t>
        </is>
      </c>
      <c r="B32" t="inlineStr">
        <is>
          <t>12/02/2026</t>
        </is>
      </c>
      <c r="C32" t="inlineStr">
        <is>
          <t>Ximena Tomalá</t>
        </is>
      </c>
      <c r="D32" t="inlineStr">
        <is>
          <t>Kitty Boutique</t>
        </is>
      </c>
      <c r="E32" t="inlineStr">
        <is>
          <t>Accesorios</t>
        </is>
      </c>
      <c r="F32" t="n">
        <v>10.45</v>
      </c>
      <c r="G32" t="inlineStr">
        <is>
          <t>Apartado</t>
        </is>
      </c>
      <c r="H32" t="inlineStr">
        <is>
          <t>TikTok</t>
        </is>
      </c>
      <c r="I32" t="inlineStr">
        <is>
          <t>Alta</t>
        </is>
      </c>
      <c r="J32" t="inlineStr">
        <is>
          <t>Febrero</t>
        </is>
      </c>
      <c r="K32" t="inlineStr">
        <is>
          <t>Interesada en accesorios</t>
        </is>
      </c>
      <c r="L32" t="inlineStr">
        <is>
          <t>22/02/2026</t>
        </is>
      </c>
    </row>
    <row r="33">
      <c r="A33" t="inlineStr">
        <is>
          <t>L1031</t>
        </is>
      </c>
      <c r="B33" t="inlineStr">
        <is>
          <t>13/02/2026</t>
        </is>
      </c>
      <c r="C33" t="inlineStr">
        <is>
          <t>Fernanda Yagual</t>
        </is>
      </c>
      <c r="D33" t="inlineStr">
        <is>
          <t>Kitty Boutique</t>
        </is>
      </c>
      <c r="E33" t="inlineStr">
        <is>
          <t>Falda Jeans</t>
        </is>
      </c>
      <c r="F33" t="n">
        <v>11.78</v>
      </c>
      <c r="G33" t="inlineStr">
        <is>
          <t>Apartado</t>
        </is>
      </c>
      <c r="H33" t="inlineStr">
        <is>
          <t>WhatsApp</t>
        </is>
      </c>
      <c r="I33" t="inlineStr">
        <is>
          <t>Baja</t>
        </is>
      </c>
      <c r="J33" t="inlineStr">
        <is>
          <t>Febrero</t>
        </is>
      </c>
      <c r="K33" t="inlineStr">
        <is>
          <t>Interesada en falda jeans</t>
        </is>
      </c>
      <c r="L33" t="inlineStr">
        <is>
          <t>28/02/2026</t>
        </is>
      </c>
    </row>
    <row r="34">
      <c r="A34" t="inlineStr">
        <is>
          <t>L1032</t>
        </is>
      </c>
      <c r="B34" t="inlineStr">
        <is>
          <t>17/02/2026</t>
        </is>
      </c>
      <c r="C34" t="inlineStr">
        <is>
          <t>Daniela Macías</t>
        </is>
      </c>
      <c r="D34" t="inlineStr">
        <is>
          <t>Kitty Boutique</t>
        </is>
      </c>
      <c r="E34" t="inlineStr">
        <is>
          <t>Blusa Casual</t>
        </is>
      </c>
      <c r="F34" t="n">
        <v>10.53</v>
      </c>
      <c r="G34" t="inlineStr">
        <is>
          <t>Contactada</t>
        </is>
      </c>
      <c r="H34" t="inlineStr">
        <is>
          <t>Página Web</t>
        </is>
      </c>
      <c r="I34" t="inlineStr">
        <is>
          <t>Baja</t>
        </is>
      </c>
      <c r="J34" t="inlineStr">
        <is>
          <t>Febrero</t>
        </is>
      </c>
      <c r="K34" t="inlineStr">
        <is>
          <t>Interesada en blusa casual</t>
        </is>
      </c>
      <c r="L34" t="inlineStr">
        <is>
          <t>13/03/2026</t>
        </is>
      </c>
    </row>
    <row r="35">
      <c r="A35" t="inlineStr">
        <is>
          <t>L1033</t>
        </is>
      </c>
      <c r="B35" t="inlineStr">
        <is>
          <t>18/02/2026</t>
        </is>
      </c>
      <c r="C35" t="inlineStr">
        <is>
          <t>Cinthya Mendoza</t>
        </is>
      </c>
      <c r="D35" t="inlineStr">
        <is>
          <t>Kitty Boutique</t>
        </is>
      </c>
      <c r="E35" t="inlineStr">
        <is>
          <t>Falda Jeans</t>
        </is>
      </c>
      <c r="F35" t="n">
        <v>17.31</v>
      </c>
      <c r="G35" t="inlineStr">
        <is>
          <t>En negociación</t>
        </is>
      </c>
      <c r="H35" t="inlineStr">
        <is>
          <t>Referido</t>
        </is>
      </c>
      <c r="I35" t="inlineStr">
        <is>
          <t>Baja</t>
        </is>
      </c>
      <c r="J35" t="inlineStr">
        <is>
          <t>Febrero</t>
        </is>
      </c>
      <c r="K35" t="inlineStr">
        <is>
          <t>Interesada en falda jeans</t>
        </is>
      </c>
      <c r="L35" t="inlineStr">
        <is>
          <t>10/03/2026</t>
        </is>
      </c>
    </row>
    <row r="36">
      <c r="A36" t="inlineStr">
        <is>
          <t>L1034</t>
        </is>
      </c>
      <c r="B36" t="inlineStr">
        <is>
          <t>17/02/2026</t>
        </is>
      </c>
      <c r="C36" t="inlineStr">
        <is>
          <t>Gabriela Rodríguez</t>
        </is>
      </c>
      <c r="D36" t="inlineStr">
        <is>
          <t>Kitty Boutique</t>
        </is>
      </c>
      <c r="E36" t="inlineStr">
        <is>
          <t>Pantalón Jeans</t>
        </is>
      </c>
      <c r="F36" t="n">
        <v>17.51</v>
      </c>
      <c r="G36" t="inlineStr">
        <is>
          <t>Pendiente</t>
        </is>
      </c>
      <c r="H36" t="inlineStr">
        <is>
          <t>WhatsApp</t>
        </is>
      </c>
      <c r="I36" t="inlineStr">
        <is>
          <t>Alta</t>
        </is>
      </c>
      <c r="J36" t="inlineStr">
        <is>
          <t>Febrero</t>
        </is>
      </c>
      <c r="K36" t="inlineStr">
        <is>
          <t>Interesada en pantalón jeans</t>
        </is>
      </c>
      <c r="L36" t="inlineStr">
        <is>
          <t>21/02/2026</t>
        </is>
      </c>
    </row>
    <row r="37">
      <c r="A37" t="inlineStr">
        <is>
          <t>L1035</t>
        </is>
      </c>
      <c r="B37" t="inlineStr">
        <is>
          <t>20/02/2026</t>
        </is>
      </c>
      <c r="C37" t="inlineStr">
        <is>
          <t>Estefanía Borbor</t>
        </is>
      </c>
      <c r="D37" t="inlineStr">
        <is>
          <t>Kitty Boutique</t>
        </is>
      </c>
      <c r="E37" t="inlineStr">
        <is>
          <t>Blusa Suplex</t>
        </is>
      </c>
      <c r="F37" t="n">
        <v>7.24</v>
      </c>
      <c r="G37" t="inlineStr">
        <is>
          <t>Contactada</t>
        </is>
      </c>
      <c r="H37" t="inlineStr">
        <is>
          <t>Página Web</t>
        </is>
      </c>
      <c r="I37" t="inlineStr">
        <is>
          <t>Media</t>
        </is>
      </c>
      <c r="J37" t="inlineStr">
        <is>
          <t>Febrero</t>
        </is>
      </c>
      <c r="K37" t="inlineStr">
        <is>
          <t>Interesada en blusa suplex</t>
        </is>
      </c>
      <c r="L37" t="inlineStr">
        <is>
          <t>26/02/2026</t>
        </is>
      </c>
    </row>
    <row r="38">
      <c r="A38" t="inlineStr">
        <is>
          <t>L1036</t>
        </is>
      </c>
      <c r="B38" t="inlineStr">
        <is>
          <t>22/02/2026</t>
        </is>
      </c>
      <c r="C38" t="inlineStr">
        <is>
          <t>Andrea Vélez</t>
        </is>
      </c>
      <c r="D38" t="inlineStr">
        <is>
          <t>Kitty Boutique</t>
        </is>
      </c>
      <c r="E38" t="inlineStr">
        <is>
          <t>Blusa Suplex</t>
        </is>
      </c>
      <c r="F38" t="n">
        <v>10.28</v>
      </c>
      <c r="G38" t="inlineStr">
        <is>
          <t>Vendido</t>
        </is>
      </c>
      <c r="H38" t="inlineStr">
        <is>
          <t>WhatsApp</t>
        </is>
      </c>
      <c r="I38" t="inlineStr">
        <is>
          <t>Media</t>
        </is>
      </c>
      <c r="J38" t="inlineStr">
        <is>
          <t>Febrero</t>
        </is>
      </c>
      <c r="K38" t="inlineStr">
        <is>
          <t>Interesada en blusa suplex</t>
        </is>
      </c>
      <c r="L38" t="inlineStr">
        <is>
          <t>15/03/2026</t>
        </is>
      </c>
    </row>
    <row r="39">
      <c r="A39" t="inlineStr">
        <is>
          <t>L1037</t>
        </is>
      </c>
      <c r="B39" t="inlineStr">
        <is>
          <t>22/02/2026</t>
        </is>
      </c>
      <c r="C39" t="inlineStr">
        <is>
          <t>Doménica Macías</t>
        </is>
      </c>
      <c r="D39" t="inlineStr">
        <is>
          <t>Kitty Boutique</t>
        </is>
      </c>
      <c r="E39" t="inlineStr">
        <is>
          <t>Vestido Floral</t>
        </is>
      </c>
      <c r="F39" t="n">
        <v>14.96</v>
      </c>
      <c r="G39" t="inlineStr">
        <is>
          <t>Contactada</t>
        </is>
      </c>
      <c r="H39" t="inlineStr">
        <is>
          <t>Página Web</t>
        </is>
      </c>
      <c r="I39" t="inlineStr">
        <is>
          <t>Alta</t>
        </is>
      </c>
      <c r="J39" t="inlineStr">
        <is>
          <t>Febrero</t>
        </is>
      </c>
      <c r="K39" t="inlineStr">
        <is>
          <t>Interesada en vestido floral</t>
        </is>
      </c>
      <c r="L39" t="inlineStr">
        <is>
          <t>05/03/2026</t>
        </is>
      </c>
    </row>
    <row r="40">
      <c r="A40" t="inlineStr">
        <is>
          <t>L1038</t>
        </is>
      </c>
      <c r="B40" t="inlineStr">
        <is>
          <t>24/02/2026</t>
        </is>
      </c>
      <c r="C40" t="inlineStr">
        <is>
          <t>Nicole Reyes</t>
        </is>
      </c>
      <c r="D40" t="inlineStr">
        <is>
          <t>Kitty Boutique</t>
        </is>
      </c>
      <c r="E40" t="inlineStr">
        <is>
          <t>Blusa Suplex</t>
        </is>
      </c>
      <c r="F40" t="n">
        <v>10.44</v>
      </c>
      <c r="G40" t="inlineStr">
        <is>
          <t>Pendiente</t>
        </is>
      </c>
      <c r="H40" t="inlineStr">
        <is>
          <t>Facebook</t>
        </is>
      </c>
      <c r="I40" t="inlineStr">
        <is>
          <t>Alta</t>
        </is>
      </c>
      <c r="J40" t="inlineStr">
        <is>
          <t>Febrero</t>
        </is>
      </c>
      <c r="K40" t="inlineStr">
        <is>
          <t>Interesada en blusa suplex</t>
        </is>
      </c>
      <c r="L40" t="inlineStr">
        <is>
          <t>18/03/2026</t>
        </is>
      </c>
    </row>
    <row r="41">
      <c r="A41" t="inlineStr">
        <is>
          <t>L1039</t>
        </is>
      </c>
      <c r="B41" t="inlineStr">
        <is>
          <t>25/02/2026</t>
        </is>
      </c>
      <c r="C41" t="inlineStr">
        <is>
          <t>Valeria Suárez</t>
        </is>
      </c>
      <c r="D41" t="inlineStr">
        <is>
          <t>Kitty Boutique</t>
        </is>
      </c>
      <c r="E41" t="inlineStr">
        <is>
          <t>Conjunto Casual</t>
        </is>
      </c>
      <c r="F41" t="n">
        <v>14.61</v>
      </c>
      <c r="G41" t="inlineStr">
        <is>
          <t>En negociación</t>
        </is>
      </c>
      <c r="H41" t="inlineStr">
        <is>
          <t>Referido</t>
        </is>
      </c>
      <c r="I41" t="inlineStr">
        <is>
          <t>Baja</t>
        </is>
      </c>
      <c r="J41" t="inlineStr">
        <is>
          <t>Febrero</t>
        </is>
      </c>
      <c r="K41" t="inlineStr">
        <is>
          <t>Interesada en conjunto casual</t>
        </is>
      </c>
      <c r="L41" t="inlineStr">
        <is>
          <t>02/03/2026</t>
        </is>
      </c>
    </row>
    <row r="42">
      <c r="A42" t="inlineStr">
        <is>
          <t>L1040</t>
        </is>
      </c>
      <c r="B42" t="inlineStr">
        <is>
          <t>27/02/2026</t>
        </is>
      </c>
      <c r="C42" t="inlineStr">
        <is>
          <t>Doménica Reyes</t>
        </is>
      </c>
      <c r="D42" t="inlineStr">
        <is>
          <t>Kitty Boutique</t>
        </is>
      </c>
      <c r="E42" t="inlineStr">
        <is>
          <t>Pantalón Jeans</t>
        </is>
      </c>
      <c r="F42" t="n">
        <v>12.04</v>
      </c>
      <c r="G42" t="inlineStr">
        <is>
          <t>Pendiente</t>
        </is>
      </c>
      <c r="H42" t="inlineStr">
        <is>
          <t>WhatsApp</t>
        </is>
      </c>
      <c r="I42" t="inlineStr">
        <is>
          <t>Alta</t>
        </is>
      </c>
      <c r="J42" t="inlineStr">
        <is>
          <t>Febrero</t>
        </is>
      </c>
      <c r="K42" t="inlineStr">
        <is>
          <t>Interesada en pantalón jeans</t>
        </is>
      </c>
      <c r="L42" t="inlineStr">
        <is>
          <t>21/03/2026</t>
        </is>
      </c>
    </row>
    <row r="43">
      <c r="A43" t="inlineStr">
        <is>
          <t>L1041</t>
        </is>
      </c>
      <c r="B43" t="inlineStr">
        <is>
          <t>27/02/2026</t>
        </is>
      </c>
      <c r="C43" t="inlineStr">
        <is>
          <t>Jazmín Reyes</t>
        </is>
      </c>
      <c r="D43" t="inlineStr">
        <is>
          <t>Kitty Boutique</t>
        </is>
      </c>
      <c r="E43" t="inlineStr">
        <is>
          <t>Top Elegante</t>
        </is>
      </c>
      <c r="F43" t="n">
        <v>9.380000000000001</v>
      </c>
      <c r="G43" t="inlineStr">
        <is>
          <t>Pendiente</t>
        </is>
      </c>
      <c r="H43" t="inlineStr">
        <is>
          <t>Facebook</t>
        </is>
      </c>
      <c r="I43" t="inlineStr">
        <is>
          <t>Baja</t>
        </is>
      </c>
      <c r="J43" t="inlineStr">
        <is>
          <t>Febrero</t>
        </is>
      </c>
      <c r="K43" t="inlineStr">
        <is>
          <t>Interesada en top elegante</t>
        </is>
      </c>
      <c r="L43" t="inlineStr">
        <is>
          <t>10/03/2026</t>
        </is>
      </c>
    </row>
    <row r="44">
      <c r="A44" t="inlineStr">
        <is>
          <t>L1042</t>
        </is>
      </c>
      <c r="B44" t="inlineStr">
        <is>
          <t>01/03/2026</t>
        </is>
      </c>
      <c r="C44" t="inlineStr">
        <is>
          <t>Doménica Vélez</t>
        </is>
      </c>
      <c r="D44" t="inlineStr">
        <is>
          <t>Kitty Boutique</t>
        </is>
      </c>
      <c r="E44" t="inlineStr">
        <is>
          <t>Blazer Mujer</t>
        </is>
      </c>
      <c r="F44" t="n">
        <v>15.85</v>
      </c>
      <c r="G44" t="inlineStr">
        <is>
          <t>Contactada</t>
        </is>
      </c>
      <c r="H44" t="inlineStr">
        <is>
          <t>Facebook</t>
        </is>
      </c>
      <c r="I44" t="inlineStr">
        <is>
          <t>Alta</t>
        </is>
      </c>
      <c r="J44" t="inlineStr">
        <is>
          <t>Marzo</t>
        </is>
      </c>
      <c r="K44" t="inlineStr">
        <is>
          <t>Interesada en blazer mujer</t>
        </is>
      </c>
      <c r="L44" t="inlineStr">
        <is>
          <t>26/03/2026</t>
        </is>
      </c>
    </row>
    <row r="45">
      <c r="A45" t="inlineStr">
        <is>
          <t>L1043</t>
        </is>
      </c>
      <c r="B45" t="inlineStr">
        <is>
          <t>02/03/2026</t>
        </is>
      </c>
      <c r="C45" t="inlineStr">
        <is>
          <t>Cinthya Panchana</t>
        </is>
      </c>
      <c r="D45" t="inlineStr">
        <is>
          <t>Kitty Boutique</t>
        </is>
      </c>
      <c r="E45" t="inlineStr">
        <is>
          <t>Vestido Floral</t>
        </is>
      </c>
      <c r="F45" t="n">
        <v>12.67</v>
      </c>
      <c r="G45" t="inlineStr">
        <is>
          <t>En negociación</t>
        </is>
      </c>
      <c r="H45" t="inlineStr">
        <is>
          <t>Instagram</t>
        </is>
      </c>
      <c r="I45" t="inlineStr">
        <is>
          <t>Baja</t>
        </is>
      </c>
      <c r="J45" t="inlineStr">
        <is>
          <t>Marzo</t>
        </is>
      </c>
      <c r="K45" t="inlineStr">
        <is>
          <t>Interesada en vestido floral</t>
        </is>
      </c>
      <c r="L45" t="inlineStr">
        <is>
          <t>25/03/2026</t>
        </is>
      </c>
    </row>
    <row r="46">
      <c r="A46" t="inlineStr">
        <is>
          <t>L1044</t>
        </is>
      </c>
      <c r="B46" t="inlineStr">
        <is>
          <t>04/03/2026</t>
        </is>
      </c>
      <c r="C46" t="inlineStr">
        <is>
          <t>Melanie Quiñonez</t>
        </is>
      </c>
      <c r="D46" t="inlineStr">
        <is>
          <t>Kitty Boutique</t>
        </is>
      </c>
      <c r="E46" t="inlineStr">
        <is>
          <t>Blusa Casual</t>
        </is>
      </c>
      <c r="F46" t="n">
        <v>16.88</v>
      </c>
      <c r="G46" t="inlineStr">
        <is>
          <t>Vendido</t>
        </is>
      </c>
      <c r="H46" t="inlineStr">
        <is>
          <t>Página Web</t>
        </is>
      </c>
      <c r="I46" t="inlineStr">
        <is>
          <t>Alta</t>
        </is>
      </c>
      <c r="J46" t="inlineStr">
        <is>
          <t>Marzo</t>
        </is>
      </c>
      <c r="K46" t="inlineStr">
        <is>
          <t>Interesada en blusa casual</t>
        </is>
      </c>
      <c r="L46" t="inlineStr">
        <is>
          <t>12/03/2026</t>
        </is>
      </c>
    </row>
    <row r="47">
      <c r="A47" t="inlineStr">
        <is>
          <t>L1045</t>
        </is>
      </c>
      <c r="B47" t="inlineStr">
        <is>
          <t>07/03/2026</t>
        </is>
      </c>
      <c r="C47" t="inlineStr">
        <is>
          <t>Camila Chávez</t>
        </is>
      </c>
      <c r="D47" t="inlineStr">
        <is>
          <t>Kitty Boutique</t>
        </is>
      </c>
      <c r="E47" t="inlineStr">
        <is>
          <t>Pantalón Jeans</t>
        </is>
      </c>
      <c r="F47" t="n">
        <v>16.72</v>
      </c>
      <c r="G47" t="inlineStr">
        <is>
          <t>Pendiente</t>
        </is>
      </c>
      <c r="H47" t="inlineStr">
        <is>
          <t>TikTok</t>
        </is>
      </c>
      <c r="I47" t="inlineStr">
        <is>
          <t>Alta</t>
        </is>
      </c>
      <c r="J47" t="inlineStr">
        <is>
          <t>Marzo</t>
        </is>
      </c>
      <c r="K47" t="inlineStr">
        <is>
          <t>Interesada en pantalón jeans</t>
        </is>
      </c>
      <c r="L47" t="inlineStr">
        <is>
          <t>14/03/2026</t>
        </is>
      </c>
    </row>
    <row r="48">
      <c r="A48" t="inlineStr">
        <is>
          <t>L1046</t>
        </is>
      </c>
      <c r="B48" t="inlineStr">
        <is>
          <t>06/03/2026</t>
        </is>
      </c>
      <c r="C48" t="inlineStr">
        <is>
          <t>Camila Zambrano</t>
        </is>
      </c>
      <c r="D48" t="inlineStr">
        <is>
          <t>Kitty Boutique</t>
        </is>
      </c>
      <c r="E48" t="inlineStr">
        <is>
          <t>Blazer Mujer</t>
        </is>
      </c>
      <c r="F48" t="n">
        <v>19.12</v>
      </c>
      <c r="G48" t="inlineStr">
        <is>
          <t>Pendiente</t>
        </is>
      </c>
      <c r="H48" t="inlineStr">
        <is>
          <t>WhatsApp</t>
        </is>
      </c>
      <c r="I48" t="inlineStr">
        <is>
          <t>Alta</t>
        </is>
      </c>
      <c r="J48" t="inlineStr">
        <is>
          <t>Marzo</t>
        </is>
      </c>
      <c r="K48" t="inlineStr">
        <is>
          <t>Interesada en blazer mujer</t>
        </is>
      </c>
      <c r="L48" t="inlineStr">
        <is>
          <t>18/03/2026</t>
        </is>
      </c>
    </row>
    <row r="49">
      <c r="A49" t="inlineStr">
        <is>
          <t>L1047</t>
        </is>
      </c>
      <c r="B49" t="inlineStr">
        <is>
          <t>09/03/2026</t>
        </is>
      </c>
      <c r="C49" t="inlineStr">
        <is>
          <t>Jazmín Alvarado</t>
        </is>
      </c>
      <c r="D49" t="inlineStr">
        <is>
          <t>Kitty Boutique</t>
        </is>
      </c>
      <c r="E49" t="inlineStr">
        <is>
          <t>Vestido Floral</t>
        </is>
      </c>
      <c r="F49" t="n">
        <v>23.63</v>
      </c>
      <c r="G49" t="inlineStr">
        <is>
          <t>Vendido</t>
        </is>
      </c>
      <c r="H49" t="inlineStr">
        <is>
          <t>Instagram</t>
        </is>
      </c>
      <c r="I49" t="inlineStr">
        <is>
          <t>Alta</t>
        </is>
      </c>
      <c r="J49" t="inlineStr">
        <is>
          <t>Marzo</t>
        </is>
      </c>
      <c r="K49" t="inlineStr">
        <is>
          <t>Interesada en vestido floral</t>
        </is>
      </c>
      <c r="L49" t="inlineStr">
        <is>
          <t>29/03/2026</t>
        </is>
      </c>
    </row>
    <row r="50">
      <c r="A50" t="inlineStr">
        <is>
          <t>L1048</t>
        </is>
      </c>
      <c r="B50" t="inlineStr">
        <is>
          <t>09/03/2026</t>
        </is>
      </c>
      <c r="C50" t="inlineStr">
        <is>
          <t>Jazmín Torres</t>
        </is>
      </c>
      <c r="D50" t="inlineStr">
        <is>
          <t>Kitty Boutique</t>
        </is>
      </c>
      <c r="E50" t="inlineStr">
        <is>
          <t>Falda Jeans</t>
        </is>
      </c>
      <c r="F50" t="n">
        <v>20.97</v>
      </c>
      <c r="G50" t="inlineStr">
        <is>
          <t>Contactada</t>
        </is>
      </c>
      <c r="H50" t="inlineStr">
        <is>
          <t>TikTok</t>
        </is>
      </c>
      <c r="I50" t="inlineStr">
        <is>
          <t>Baja</t>
        </is>
      </c>
      <c r="J50" t="inlineStr">
        <is>
          <t>Marzo</t>
        </is>
      </c>
      <c r="K50" t="inlineStr">
        <is>
          <t>Interesada en falda jeans</t>
        </is>
      </c>
      <c r="L50" t="inlineStr">
        <is>
          <t>25/03/2026</t>
        </is>
      </c>
    </row>
    <row r="51">
      <c r="A51" t="inlineStr">
        <is>
          <t>L1049</t>
        </is>
      </c>
      <c r="B51" t="inlineStr">
        <is>
          <t>12/03/2026</t>
        </is>
      </c>
      <c r="C51" t="inlineStr">
        <is>
          <t>Melanie Gómez</t>
        </is>
      </c>
      <c r="D51" t="inlineStr">
        <is>
          <t>Kitty Boutique</t>
        </is>
      </c>
      <c r="E51" t="inlineStr">
        <is>
          <t>Bolso Fashion</t>
        </is>
      </c>
      <c r="F51" t="n">
        <v>13.58</v>
      </c>
      <c r="G51" t="inlineStr">
        <is>
          <t>Contactada</t>
        </is>
      </c>
      <c r="H51" t="inlineStr">
        <is>
          <t>Página Web</t>
        </is>
      </c>
      <c r="I51" t="inlineStr">
        <is>
          <t>Media</t>
        </is>
      </c>
      <c r="J51" t="inlineStr">
        <is>
          <t>Marzo</t>
        </is>
      </c>
      <c r="K51" t="inlineStr">
        <is>
          <t>Interesada en bolso fashion</t>
        </is>
      </c>
      <c r="L51" t="inlineStr">
        <is>
          <t>22/03/2026</t>
        </is>
      </c>
    </row>
    <row r="52">
      <c r="A52" t="inlineStr">
        <is>
          <t>L1050</t>
        </is>
      </c>
      <c r="B52" t="inlineStr">
        <is>
          <t>12/03/2026</t>
        </is>
      </c>
      <c r="C52" t="inlineStr">
        <is>
          <t>Valeria Cedeño</t>
        </is>
      </c>
      <c r="D52" t="inlineStr">
        <is>
          <t>Kitty Boutique</t>
        </is>
      </c>
      <c r="E52" t="inlineStr">
        <is>
          <t>Blusa Casual</t>
        </is>
      </c>
      <c r="F52" t="n">
        <v>10.62</v>
      </c>
      <c r="G52" t="inlineStr">
        <is>
          <t>En negociación</t>
        </is>
      </c>
      <c r="H52" t="inlineStr">
        <is>
          <t>WhatsApp</t>
        </is>
      </c>
      <c r="I52" t="inlineStr">
        <is>
          <t>Alta</t>
        </is>
      </c>
      <c r="J52" t="inlineStr">
        <is>
          <t>Marzo</t>
        </is>
      </c>
      <c r="K52" t="inlineStr">
        <is>
          <t>Interesada en blusa casual</t>
        </is>
      </c>
      <c r="L52" t="inlineStr">
        <is>
          <t>21/03/2026</t>
        </is>
      </c>
    </row>
    <row r="53">
      <c r="A53" t="inlineStr">
        <is>
          <t>L1051</t>
        </is>
      </c>
      <c r="B53" t="inlineStr">
        <is>
          <t>14/03/2026</t>
        </is>
      </c>
      <c r="C53" t="inlineStr">
        <is>
          <t>Liseth Vélez</t>
        </is>
      </c>
      <c r="D53" t="inlineStr">
        <is>
          <t>Kitty Boutique</t>
        </is>
      </c>
      <c r="E53" t="inlineStr">
        <is>
          <t>Bolso Fashion</t>
        </is>
      </c>
      <c r="F53" t="n">
        <v>13</v>
      </c>
      <c r="G53" t="inlineStr">
        <is>
          <t>Pendiente</t>
        </is>
      </c>
      <c r="H53" t="inlineStr">
        <is>
          <t>Referido</t>
        </is>
      </c>
      <c r="I53" t="inlineStr">
        <is>
          <t>Media</t>
        </is>
      </c>
      <c r="J53" t="inlineStr">
        <is>
          <t>Marzo</t>
        </is>
      </c>
      <c r="K53" t="inlineStr">
        <is>
          <t>Interesada en bolso fashion</t>
        </is>
      </c>
      <c r="L53" t="inlineStr">
        <is>
          <t>27/03/2026</t>
        </is>
      </c>
    </row>
    <row r="54">
      <c r="A54" t="inlineStr">
        <is>
          <t>L1052</t>
        </is>
      </c>
      <c r="B54" t="inlineStr">
        <is>
          <t>17/03/2026</t>
        </is>
      </c>
      <c r="C54" t="inlineStr">
        <is>
          <t>Verónica Vélez</t>
        </is>
      </c>
      <c r="D54" t="inlineStr">
        <is>
          <t>Kitty Boutique</t>
        </is>
      </c>
      <c r="E54" t="inlineStr">
        <is>
          <t>Blazer Mujer</t>
        </is>
      </c>
      <c r="F54" t="n">
        <v>9.800000000000001</v>
      </c>
      <c r="G54" t="inlineStr">
        <is>
          <t>Pendiente</t>
        </is>
      </c>
      <c r="H54" t="inlineStr">
        <is>
          <t>Facebook</t>
        </is>
      </c>
      <c r="I54" t="inlineStr">
        <is>
          <t>Alta</t>
        </is>
      </c>
      <c r="J54" t="inlineStr">
        <is>
          <t>Marzo</t>
        </is>
      </c>
      <c r="K54" t="inlineStr">
        <is>
          <t>Interesada en blazer mujer</t>
        </is>
      </c>
      <c r="L54" t="inlineStr">
        <is>
          <t>06/04/2026</t>
        </is>
      </c>
    </row>
    <row r="55">
      <c r="A55" t="inlineStr">
        <is>
          <t>L1053</t>
        </is>
      </c>
      <c r="B55" t="inlineStr">
        <is>
          <t>16/03/2026</t>
        </is>
      </c>
      <c r="C55" t="inlineStr">
        <is>
          <t>Jazmín Torres</t>
        </is>
      </c>
      <c r="D55" t="inlineStr">
        <is>
          <t>Kitty Boutique</t>
        </is>
      </c>
      <c r="E55" t="inlineStr">
        <is>
          <t>Vestido Floral</t>
        </is>
      </c>
      <c r="F55" t="n">
        <v>14.57</v>
      </c>
      <c r="G55" t="inlineStr">
        <is>
          <t>En negociación</t>
        </is>
      </c>
      <c r="H55" t="inlineStr">
        <is>
          <t>Referido</t>
        </is>
      </c>
      <c r="I55" t="inlineStr">
        <is>
          <t>Alta</t>
        </is>
      </c>
      <c r="J55" t="inlineStr">
        <is>
          <t>Marzo</t>
        </is>
      </c>
      <c r="K55" t="inlineStr">
        <is>
          <t>Interesada en vestido floral</t>
        </is>
      </c>
      <c r="L55" t="inlineStr">
        <is>
          <t>07/04/2026</t>
        </is>
      </c>
    </row>
    <row r="56">
      <c r="A56" t="inlineStr">
        <is>
          <t>L1054</t>
        </is>
      </c>
      <c r="B56" t="inlineStr">
        <is>
          <t>18/03/2026</t>
        </is>
      </c>
      <c r="C56" t="inlineStr">
        <is>
          <t>Cinthya Quiñonez</t>
        </is>
      </c>
      <c r="D56" t="inlineStr">
        <is>
          <t>Kitty Boutique</t>
        </is>
      </c>
      <c r="E56" t="inlineStr">
        <is>
          <t>Conjunto Casual</t>
        </is>
      </c>
      <c r="F56" t="n">
        <v>6.53</v>
      </c>
      <c r="G56" t="inlineStr">
        <is>
          <t>En negociación</t>
        </is>
      </c>
      <c r="H56" t="inlineStr">
        <is>
          <t>Referido</t>
        </is>
      </c>
      <c r="I56" t="inlineStr">
        <is>
          <t>Baja</t>
        </is>
      </c>
      <c r="J56" t="inlineStr">
        <is>
          <t>Marzo</t>
        </is>
      </c>
      <c r="K56" t="inlineStr">
        <is>
          <t>Interesada en conjunto casual</t>
        </is>
      </c>
      <c r="L56" t="inlineStr">
        <is>
          <t>08/04/2026</t>
        </is>
      </c>
    </row>
    <row r="57">
      <c r="A57" t="inlineStr">
        <is>
          <t>L1055</t>
        </is>
      </c>
      <c r="B57" t="inlineStr">
        <is>
          <t>21/03/2026</t>
        </is>
      </c>
      <c r="C57" t="inlineStr">
        <is>
          <t>Mishell Rodríguez</t>
        </is>
      </c>
      <c r="D57" t="inlineStr">
        <is>
          <t>Kitty Boutique</t>
        </is>
      </c>
      <c r="E57" t="inlineStr">
        <is>
          <t>Conjunto Casual</t>
        </is>
      </c>
      <c r="F57" t="n">
        <v>24.05</v>
      </c>
      <c r="G57" t="inlineStr">
        <is>
          <t>En negociación</t>
        </is>
      </c>
      <c r="H57" t="inlineStr">
        <is>
          <t>Facebook</t>
        </is>
      </c>
      <c r="I57" t="inlineStr">
        <is>
          <t>Baja</t>
        </is>
      </c>
      <c r="J57" t="inlineStr">
        <is>
          <t>Marzo</t>
        </is>
      </c>
      <c r="K57" t="inlineStr">
        <is>
          <t>Interesada en conjunto casual</t>
        </is>
      </c>
      <c r="L57" t="inlineStr">
        <is>
          <t>14/04/2026</t>
        </is>
      </c>
    </row>
    <row r="58">
      <c r="A58" t="inlineStr">
        <is>
          <t>L1056</t>
        </is>
      </c>
      <c r="B58" t="inlineStr">
        <is>
          <t>21/03/2026</t>
        </is>
      </c>
      <c r="C58" t="inlineStr">
        <is>
          <t>Briggitte Macías</t>
        </is>
      </c>
      <c r="D58" t="inlineStr">
        <is>
          <t>Kitty Boutique</t>
        </is>
      </c>
      <c r="E58" t="inlineStr">
        <is>
          <t>Top Elegante</t>
        </is>
      </c>
      <c r="F58" t="n">
        <v>18.84</v>
      </c>
      <c r="G58" t="inlineStr">
        <is>
          <t>En negociación</t>
        </is>
      </c>
      <c r="H58" t="inlineStr">
        <is>
          <t>Facebook</t>
        </is>
      </c>
      <c r="I58" t="inlineStr">
        <is>
          <t>Media</t>
        </is>
      </c>
      <c r="J58" t="inlineStr">
        <is>
          <t>Marzo</t>
        </is>
      </c>
      <c r="K58" t="inlineStr">
        <is>
          <t>Interesada en top elegante</t>
        </is>
      </c>
      <c r="L58" t="inlineStr">
        <is>
          <t>14/04/2026</t>
        </is>
      </c>
    </row>
    <row r="59">
      <c r="A59" t="inlineStr">
        <is>
          <t>L1057</t>
        </is>
      </c>
      <c r="B59" t="inlineStr">
        <is>
          <t>24/03/2026</t>
        </is>
      </c>
      <c r="C59" t="inlineStr">
        <is>
          <t>Daniela Quiñonez</t>
        </is>
      </c>
      <c r="D59" t="inlineStr">
        <is>
          <t>Kitty Boutique</t>
        </is>
      </c>
      <c r="E59" t="inlineStr">
        <is>
          <t>Pantalón Jeans</t>
        </is>
      </c>
      <c r="F59" t="n">
        <v>18.8</v>
      </c>
      <c r="G59" t="inlineStr">
        <is>
          <t>Contactada</t>
        </is>
      </c>
      <c r="H59" t="inlineStr">
        <is>
          <t>TikTok</t>
        </is>
      </c>
      <c r="I59" t="inlineStr">
        <is>
          <t>Baja</t>
        </is>
      </c>
      <c r="J59" t="inlineStr">
        <is>
          <t>Marzo</t>
        </is>
      </c>
      <c r="K59" t="inlineStr">
        <is>
          <t>Interesada en pantalón jeans</t>
        </is>
      </c>
      <c r="L59" t="inlineStr">
        <is>
          <t>05/04/2026</t>
        </is>
      </c>
    </row>
    <row r="60">
      <c r="A60" t="inlineStr">
        <is>
          <t>L1058</t>
        </is>
      </c>
      <c r="B60" t="inlineStr">
        <is>
          <t>25/03/2026</t>
        </is>
      </c>
      <c r="C60" t="inlineStr">
        <is>
          <t>Valeria Loor</t>
        </is>
      </c>
      <c r="D60" t="inlineStr">
        <is>
          <t>Kitty Boutique</t>
        </is>
      </c>
      <c r="E60" t="inlineStr">
        <is>
          <t>Blusa Suplex</t>
        </is>
      </c>
      <c r="F60" t="n">
        <v>16.64</v>
      </c>
      <c r="G60" t="inlineStr">
        <is>
          <t>Vendido</t>
        </is>
      </c>
      <c r="H60" t="inlineStr">
        <is>
          <t>Página Web</t>
        </is>
      </c>
      <c r="I60" t="inlineStr">
        <is>
          <t>Media</t>
        </is>
      </c>
      <c r="J60" t="inlineStr">
        <is>
          <t>Marzo</t>
        </is>
      </c>
      <c r="K60" t="inlineStr">
        <is>
          <t>Interesada en blusa suplex</t>
        </is>
      </c>
      <c r="L60" t="inlineStr">
        <is>
          <t>02/04/2026</t>
        </is>
      </c>
    </row>
    <row r="61">
      <c r="A61" t="inlineStr">
        <is>
          <t>L1059</t>
        </is>
      </c>
      <c r="B61" t="inlineStr">
        <is>
          <t>25/03/2026</t>
        </is>
      </c>
      <c r="C61" t="inlineStr">
        <is>
          <t>Mayra Torres</t>
        </is>
      </c>
      <c r="D61" t="inlineStr">
        <is>
          <t>Kitty Boutique</t>
        </is>
      </c>
      <c r="E61" t="inlineStr">
        <is>
          <t>Vestido Floral</t>
        </is>
      </c>
      <c r="F61" t="n">
        <v>15.1</v>
      </c>
      <c r="G61" t="inlineStr">
        <is>
          <t>Vendido</t>
        </is>
      </c>
      <c r="H61" t="inlineStr">
        <is>
          <t>TikTok</t>
        </is>
      </c>
      <c r="I61" t="inlineStr">
        <is>
          <t>Baja</t>
        </is>
      </c>
      <c r="J61" t="inlineStr">
        <is>
          <t>Marzo</t>
        </is>
      </c>
      <c r="K61" t="inlineStr">
        <is>
          <t>Interesada en vestido floral</t>
        </is>
      </c>
      <c r="L61" t="inlineStr">
        <is>
          <t>03/04/2026</t>
        </is>
      </c>
    </row>
    <row r="62">
      <c r="A62" t="inlineStr">
        <is>
          <t>L1060</t>
        </is>
      </c>
      <c r="B62" t="inlineStr">
        <is>
          <t>26/03/2026</t>
        </is>
      </c>
      <c r="C62" t="inlineStr">
        <is>
          <t>Doménica Rodríguez</t>
        </is>
      </c>
      <c r="D62" t="inlineStr">
        <is>
          <t>Kitty Boutique</t>
        </is>
      </c>
      <c r="E62" t="inlineStr">
        <is>
          <t>Blusa Casual</t>
        </is>
      </c>
      <c r="F62" t="n">
        <v>11.75</v>
      </c>
      <c r="G62" t="inlineStr">
        <is>
          <t>Contactada</t>
        </is>
      </c>
      <c r="H62" t="inlineStr">
        <is>
          <t>WhatsApp</t>
        </is>
      </c>
      <c r="I62" t="inlineStr">
        <is>
          <t>Baja</t>
        </is>
      </c>
      <c r="J62" t="inlineStr">
        <is>
          <t>Marzo</t>
        </is>
      </c>
      <c r="K62" t="inlineStr">
        <is>
          <t>Interesada en blusa casual</t>
        </is>
      </c>
      <c r="L62" t="inlineStr">
        <is>
          <t>14/04/2026</t>
        </is>
      </c>
    </row>
    <row r="63">
      <c r="A63" t="inlineStr">
        <is>
          <t>L1061</t>
        </is>
      </c>
      <c r="B63" t="inlineStr">
        <is>
          <t>29/03/2026</t>
        </is>
      </c>
      <c r="C63" t="inlineStr">
        <is>
          <t>Doménica Macías</t>
        </is>
      </c>
      <c r="D63" t="inlineStr">
        <is>
          <t>Kitty Boutique</t>
        </is>
      </c>
      <c r="E63" t="inlineStr">
        <is>
          <t>Top Elegante</t>
        </is>
      </c>
      <c r="F63" t="n">
        <v>10.66</v>
      </c>
      <c r="G63" t="inlineStr">
        <is>
          <t>Contactada</t>
        </is>
      </c>
      <c r="H63" t="inlineStr">
        <is>
          <t>Instagram</t>
        </is>
      </c>
      <c r="I63" t="inlineStr">
        <is>
          <t>Alta</t>
        </is>
      </c>
      <c r="J63" t="inlineStr">
        <is>
          <t>Marzo</t>
        </is>
      </c>
      <c r="K63" t="inlineStr">
        <is>
          <t>Interesada en top elegante</t>
        </is>
      </c>
      <c r="L63" t="inlineStr">
        <is>
          <t>11/04/2026</t>
        </is>
      </c>
    </row>
    <row r="64">
      <c r="A64" t="inlineStr">
        <is>
          <t>L1062</t>
        </is>
      </c>
      <c r="B64" t="inlineStr">
        <is>
          <t>29/03/2026</t>
        </is>
      </c>
      <c r="C64" t="inlineStr">
        <is>
          <t>Mayra Rodríguez</t>
        </is>
      </c>
      <c r="D64" t="inlineStr">
        <is>
          <t>Kitty Boutique</t>
        </is>
      </c>
      <c r="E64" t="inlineStr">
        <is>
          <t>Conjunto Casual</t>
        </is>
      </c>
      <c r="F64" t="n">
        <v>14.93</v>
      </c>
      <c r="G64" t="inlineStr">
        <is>
          <t>Apartado</t>
        </is>
      </c>
      <c r="H64" t="inlineStr">
        <is>
          <t>WhatsApp</t>
        </is>
      </c>
      <c r="I64" t="inlineStr">
        <is>
          <t>Baja</t>
        </is>
      </c>
      <c r="J64" t="inlineStr">
        <is>
          <t>Marzo</t>
        </is>
      </c>
      <c r="K64" t="inlineStr">
        <is>
          <t>Interesada en conjunto casual</t>
        </is>
      </c>
      <c r="L64" t="inlineStr">
        <is>
          <t>02/04/2026</t>
        </is>
      </c>
    </row>
    <row r="65">
      <c r="A65" t="inlineStr">
        <is>
          <t>L1063</t>
        </is>
      </c>
      <c r="B65" t="inlineStr">
        <is>
          <t>30/03/2026</t>
        </is>
      </c>
      <c r="C65" t="inlineStr">
        <is>
          <t>Lucía Cedeño</t>
        </is>
      </c>
      <c r="D65" t="inlineStr">
        <is>
          <t>Kitty Boutique</t>
        </is>
      </c>
      <c r="E65" t="inlineStr">
        <is>
          <t>Vestido Floral</t>
        </is>
      </c>
      <c r="F65" t="n">
        <v>9.23</v>
      </c>
      <c r="G65" t="inlineStr">
        <is>
          <t>Apartado</t>
        </is>
      </c>
      <c r="H65" t="inlineStr">
        <is>
          <t>WhatsApp</t>
        </is>
      </c>
      <c r="I65" t="inlineStr">
        <is>
          <t>Alta</t>
        </is>
      </c>
      <c r="J65" t="inlineStr">
        <is>
          <t>Marzo</t>
        </is>
      </c>
      <c r="K65" t="inlineStr">
        <is>
          <t>Interesada en vestido floral</t>
        </is>
      </c>
      <c r="L65" t="inlineStr">
        <is>
          <t>24/04/2026</t>
        </is>
      </c>
    </row>
    <row r="66">
      <c r="A66" t="inlineStr">
        <is>
          <t>L1064</t>
        </is>
      </c>
      <c r="B66" t="inlineStr">
        <is>
          <t>01/04/2026</t>
        </is>
      </c>
      <c r="C66" t="inlineStr">
        <is>
          <t>Melanie Bravo</t>
        </is>
      </c>
      <c r="D66" t="inlineStr">
        <is>
          <t>Kitty Boutique</t>
        </is>
      </c>
      <c r="E66" t="inlineStr">
        <is>
          <t>Conjunto Casual</t>
        </is>
      </c>
      <c r="F66" t="n">
        <v>15.09</v>
      </c>
      <c r="G66" t="inlineStr">
        <is>
          <t>Contactada</t>
        </is>
      </c>
      <c r="H66" t="inlineStr">
        <is>
          <t>Referido</t>
        </is>
      </c>
      <c r="I66" t="inlineStr">
        <is>
          <t>Alta</t>
        </is>
      </c>
      <c r="J66" t="inlineStr">
        <is>
          <t>Abril</t>
        </is>
      </c>
      <c r="K66" t="inlineStr">
        <is>
          <t>Interesada en conjunto casual</t>
        </is>
      </c>
      <c r="L66" t="inlineStr">
        <is>
          <t>17/04/2026</t>
        </is>
      </c>
    </row>
    <row r="67">
      <c r="A67" t="inlineStr">
        <is>
          <t>L1065</t>
        </is>
      </c>
      <c r="B67" t="inlineStr">
        <is>
          <t>02/04/2026</t>
        </is>
      </c>
      <c r="C67" t="inlineStr">
        <is>
          <t>Doménica Bravo</t>
        </is>
      </c>
      <c r="D67" t="inlineStr">
        <is>
          <t>Kitty Boutique</t>
        </is>
      </c>
      <c r="E67" t="inlineStr">
        <is>
          <t>Accesorios</t>
        </is>
      </c>
      <c r="F67" t="n">
        <v>24.78</v>
      </c>
      <c r="G67" t="inlineStr">
        <is>
          <t>Apartado</t>
        </is>
      </c>
      <c r="H67" t="inlineStr">
        <is>
          <t>Referido</t>
        </is>
      </c>
      <c r="I67" t="inlineStr">
        <is>
          <t>Media</t>
        </is>
      </c>
      <c r="J67" t="inlineStr">
        <is>
          <t>Abril</t>
        </is>
      </c>
      <c r="K67" t="inlineStr">
        <is>
          <t>Interesada en accesorios</t>
        </is>
      </c>
      <c r="L67" t="inlineStr">
        <is>
          <t>19/04/2026</t>
        </is>
      </c>
    </row>
    <row r="68">
      <c r="A68" t="inlineStr">
        <is>
          <t>L1066</t>
        </is>
      </c>
      <c r="B68" t="inlineStr">
        <is>
          <t>04/04/2026</t>
        </is>
      </c>
      <c r="C68" t="inlineStr">
        <is>
          <t>Yadira Yagual</t>
        </is>
      </c>
      <c r="D68" t="inlineStr">
        <is>
          <t>Kitty Boutique</t>
        </is>
      </c>
      <c r="E68" t="inlineStr">
        <is>
          <t>Pantalón Jeans</t>
        </is>
      </c>
      <c r="F68" t="n">
        <v>23.1</v>
      </c>
      <c r="G68" t="inlineStr">
        <is>
          <t>Apartado</t>
        </is>
      </c>
      <c r="H68" t="inlineStr">
        <is>
          <t>WhatsApp</t>
        </is>
      </c>
      <c r="I68" t="inlineStr">
        <is>
          <t>Media</t>
        </is>
      </c>
      <c r="J68" t="inlineStr">
        <is>
          <t>Abril</t>
        </is>
      </c>
      <c r="K68" t="inlineStr">
        <is>
          <t>Interesada en pantalón jeans</t>
        </is>
      </c>
      <c r="L68" t="inlineStr">
        <is>
          <t>26/04/2026</t>
        </is>
      </c>
    </row>
    <row r="69">
      <c r="A69" t="inlineStr">
        <is>
          <t>L1067</t>
        </is>
      </c>
      <c r="B69" t="inlineStr">
        <is>
          <t>06/04/2026</t>
        </is>
      </c>
      <c r="C69" t="inlineStr">
        <is>
          <t>Liseth Bravo</t>
        </is>
      </c>
      <c r="D69" t="inlineStr">
        <is>
          <t>Kitty Boutique</t>
        </is>
      </c>
      <c r="E69" t="inlineStr">
        <is>
          <t>Conjunto Casual</t>
        </is>
      </c>
      <c r="F69" t="n">
        <v>15.47</v>
      </c>
      <c r="G69" t="inlineStr">
        <is>
          <t>En negociación</t>
        </is>
      </c>
      <c r="H69" t="inlineStr">
        <is>
          <t>Instagram</t>
        </is>
      </c>
      <c r="I69" t="inlineStr">
        <is>
          <t>Media</t>
        </is>
      </c>
      <c r="J69" t="inlineStr">
        <is>
          <t>Abril</t>
        </is>
      </c>
      <c r="K69" t="inlineStr">
        <is>
          <t>Interesada en conjunto casual</t>
        </is>
      </c>
      <c r="L69" t="inlineStr">
        <is>
          <t>17/04/2026</t>
        </is>
      </c>
    </row>
    <row r="70">
      <c r="A70" t="inlineStr">
        <is>
          <t>L1068</t>
        </is>
      </c>
      <c r="B70" t="inlineStr">
        <is>
          <t>07/04/2026</t>
        </is>
      </c>
      <c r="C70" t="inlineStr">
        <is>
          <t>Fernanda Torres</t>
        </is>
      </c>
      <c r="D70" t="inlineStr">
        <is>
          <t>Kitty Boutique</t>
        </is>
      </c>
      <c r="E70" t="inlineStr">
        <is>
          <t>Bolso Fashion</t>
        </is>
      </c>
      <c r="F70" t="n">
        <v>12.41</v>
      </c>
      <c r="G70" t="inlineStr">
        <is>
          <t>Contactada</t>
        </is>
      </c>
      <c r="H70" t="inlineStr">
        <is>
          <t>Referido</t>
        </is>
      </c>
      <c r="I70" t="inlineStr">
        <is>
          <t>Alta</t>
        </is>
      </c>
      <c r="J70" t="inlineStr">
        <is>
          <t>Abril</t>
        </is>
      </c>
      <c r="K70" t="inlineStr">
        <is>
          <t>Interesada en bolso fashion</t>
        </is>
      </c>
      <c r="L70" t="inlineStr">
        <is>
          <t>12/04/2026</t>
        </is>
      </c>
    </row>
    <row r="71">
      <c r="A71" t="inlineStr">
        <is>
          <t>L1069</t>
        </is>
      </c>
      <c r="B71" t="inlineStr">
        <is>
          <t>08/04/2026</t>
        </is>
      </c>
      <c r="C71" t="inlineStr">
        <is>
          <t>Melanie Alvarado</t>
        </is>
      </c>
      <c r="D71" t="inlineStr">
        <is>
          <t>Kitty Boutique</t>
        </is>
      </c>
      <c r="E71" t="inlineStr">
        <is>
          <t>Conjunto Casual</t>
        </is>
      </c>
      <c r="F71" t="n">
        <v>19.57</v>
      </c>
      <c r="G71" t="inlineStr">
        <is>
          <t>Apartado</t>
        </is>
      </c>
      <c r="H71" t="inlineStr">
        <is>
          <t>Página Web</t>
        </is>
      </c>
      <c r="I71" t="inlineStr">
        <is>
          <t>Media</t>
        </is>
      </c>
      <c r="J71" t="inlineStr">
        <is>
          <t>Abril</t>
        </is>
      </c>
      <c r="K71" t="inlineStr">
        <is>
          <t>Interesada en conjunto casual</t>
        </is>
      </c>
      <c r="L71" t="inlineStr">
        <is>
          <t>15/04/2026</t>
        </is>
      </c>
    </row>
    <row r="72">
      <c r="A72" t="inlineStr">
        <is>
          <t>L1070</t>
        </is>
      </c>
      <c r="B72" t="inlineStr">
        <is>
          <t>10/04/2026</t>
        </is>
      </c>
      <c r="C72" t="inlineStr">
        <is>
          <t>Mishell Mendoza</t>
        </is>
      </c>
      <c r="D72" t="inlineStr">
        <is>
          <t>Kitty Boutique</t>
        </is>
      </c>
      <c r="E72" t="inlineStr">
        <is>
          <t>Pantalón Jeans</t>
        </is>
      </c>
      <c r="F72" t="n">
        <v>10.33</v>
      </c>
      <c r="G72" t="inlineStr">
        <is>
          <t>Apartado</t>
        </is>
      </c>
      <c r="H72" t="inlineStr">
        <is>
          <t>TikTok</t>
        </is>
      </c>
      <c r="I72" t="inlineStr">
        <is>
          <t>Media</t>
        </is>
      </c>
      <c r="J72" t="inlineStr">
        <is>
          <t>Abril</t>
        </is>
      </c>
      <c r="K72" t="inlineStr">
        <is>
          <t>Interesada en pantalón jeans</t>
        </is>
      </c>
      <c r="L72" t="inlineStr">
        <is>
          <t>23/04/2026</t>
        </is>
      </c>
    </row>
    <row r="73">
      <c r="A73" t="inlineStr">
        <is>
          <t>L1071</t>
        </is>
      </c>
      <c r="B73" t="inlineStr">
        <is>
          <t>12/04/2026</t>
        </is>
      </c>
      <c r="C73" t="inlineStr">
        <is>
          <t>Lucía Tomalá</t>
        </is>
      </c>
      <c r="D73" t="inlineStr">
        <is>
          <t>Kitty Boutique</t>
        </is>
      </c>
      <c r="E73" t="inlineStr">
        <is>
          <t>Falda Jeans</t>
        </is>
      </c>
      <c r="F73" t="n">
        <v>6.61</v>
      </c>
      <c r="G73" t="inlineStr">
        <is>
          <t>Vendido</t>
        </is>
      </c>
      <c r="H73" t="inlineStr">
        <is>
          <t>Facebook</t>
        </is>
      </c>
      <c r="I73" t="inlineStr">
        <is>
          <t>Media</t>
        </is>
      </c>
      <c r="J73" t="inlineStr">
        <is>
          <t>Abril</t>
        </is>
      </c>
      <c r="K73" t="inlineStr">
        <is>
          <t>Interesada en falda jeans</t>
        </is>
      </c>
      <c r="L73" t="inlineStr">
        <is>
          <t>07/05/2026</t>
        </is>
      </c>
    </row>
    <row r="74">
      <c r="A74" t="inlineStr">
        <is>
          <t>L1072</t>
        </is>
      </c>
      <c r="B74" t="inlineStr">
        <is>
          <t>13/04/2026</t>
        </is>
      </c>
      <c r="C74" t="inlineStr">
        <is>
          <t>Mayra Cedeño</t>
        </is>
      </c>
      <c r="D74" t="inlineStr">
        <is>
          <t>Kitty Boutique</t>
        </is>
      </c>
      <c r="E74" t="inlineStr">
        <is>
          <t>Pantalón Jeans</t>
        </is>
      </c>
      <c r="F74" t="n">
        <v>15.53</v>
      </c>
      <c r="G74" t="inlineStr">
        <is>
          <t>Vendido</t>
        </is>
      </c>
      <c r="H74" t="inlineStr">
        <is>
          <t>Facebook</t>
        </is>
      </c>
      <c r="I74" t="inlineStr">
        <is>
          <t>Media</t>
        </is>
      </c>
      <c r="J74" t="inlineStr">
        <is>
          <t>Abril</t>
        </is>
      </c>
      <c r="K74" t="inlineStr">
        <is>
          <t>Interesada en pantalón jeans</t>
        </is>
      </c>
      <c r="L74" t="inlineStr">
        <is>
          <t>29/04/2026</t>
        </is>
      </c>
    </row>
    <row r="75">
      <c r="A75" t="inlineStr">
        <is>
          <t>L1073</t>
        </is>
      </c>
      <c r="B75" t="inlineStr">
        <is>
          <t>14/04/2026</t>
        </is>
      </c>
      <c r="C75" t="inlineStr">
        <is>
          <t>Doménica Loor</t>
        </is>
      </c>
      <c r="D75" t="inlineStr">
        <is>
          <t>Kitty Boutique</t>
        </is>
      </c>
      <c r="E75" t="inlineStr">
        <is>
          <t>Vestido Floral</t>
        </is>
      </c>
      <c r="F75" t="n">
        <v>19.9</v>
      </c>
      <c r="G75" t="inlineStr">
        <is>
          <t>En negociación</t>
        </is>
      </c>
      <c r="H75" t="inlineStr">
        <is>
          <t>TikTok</t>
        </is>
      </c>
      <c r="I75" t="inlineStr">
        <is>
          <t>Alta</t>
        </is>
      </c>
      <c r="J75" t="inlineStr">
        <is>
          <t>Abril</t>
        </is>
      </c>
      <c r="K75" t="inlineStr">
        <is>
          <t>Interesada en vestido floral</t>
        </is>
      </c>
      <c r="L75" t="inlineStr">
        <is>
          <t>17/04/2026</t>
        </is>
      </c>
    </row>
    <row r="76">
      <c r="A76" t="inlineStr">
        <is>
          <t>L1074</t>
        </is>
      </c>
      <c r="B76" t="inlineStr">
        <is>
          <t>17/04/2026</t>
        </is>
      </c>
      <c r="C76" t="inlineStr">
        <is>
          <t>Estefanía Chávez</t>
        </is>
      </c>
      <c r="D76" t="inlineStr">
        <is>
          <t>Kitty Boutique</t>
        </is>
      </c>
      <c r="E76" t="inlineStr">
        <is>
          <t>Falda Jeans</t>
        </is>
      </c>
      <c r="F76" t="n">
        <v>18.77</v>
      </c>
      <c r="G76" t="inlineStr">
        <is>
          <t>Apartado</t>
        </is>
      </c>
      <c r="H76" t="inlineStr">
        <is>
          <t>Página Web</t>
        </is>
      </c>
      <c r="I76" t="inlineStr">
        <is>
          <t>Baja</t>
        </is>
      </c>
      <c r="J76" t="inlineStr">
        <is>
          <t>Abril</t>
        </is>
      </c>
      <c r="K76" t="inlineStr">
        <is>
          <t>Interesada en falda jeans</t>
        </is>
      </c>
      <c r="L76" t="inlineStr">
        <is>
          <t>07/05/2026</t>
        </is>
      </c>
    </row>
    <row r="77">
      <c r="A77" t="inlineStr">
        <is>
          <t>L1075</t>
        </is>
      </c>
      <c r="B77" t="inlineStr">
        <is>
          <t>17/04/2026</t>
        </is>
      </c>
      <c r="C77" t="inlineStr">
        <is>
          <t>Cinthya Vélez</t>
        </is>
      </c>
      <c r="D77" t="inlineStr">
        <is>
          <t>Kitty Boutique</t>
        </is>
      </c>
      <c r="E77" t="inlineStr">
        <is>
          <t>Blusa Casual</t>
        </is>
      </c>
      <c r="F77" t="n">
        <v>13.51</v>
      </c>
      <c r="G77" t="inlineStr">
        <is>
          <t>Contactada</t>
        </is>
      </c>
      <c r="H77" t="inlineStr">
        <is>
          <t>Instagram</t>
        </is>
      </c>
      <c r="I77" t="inlineStr">
        <is>
          <t>Media</t>
        </is>
      </c>
      <c r="J77" t="inlineStr">
        <is>
          <t>Abril</t>
        </is>
      </c>
      <c r="K77" t="inlineStr">
        <is>
          <t>Interesada en blusa casual</t>
        </is>
      </c>
      <c r="L77" t="inlineStr">
        <is>
          <t>24/04/2026</t>
        </is>
      </c>
    </row>
    <row r="78">
      <c r="A78" t="inlineStr">
        <is>
          <t>L1076</t>
        </is>
      </c>
      <c r="B78" t="inlineStr">
        <is>
          <t>18/04/2026</t>
        </is>
      </c>
      <c r="C78" t="inlineStr">
        <is>
          <t>Liseth Quiñonez</t>
        </is>
      </c>
      <c r="D78" t="inlineStr">
        <is>
          <t>Kitty Boutique</t>
        </is>
      </c>
      <c r="E78" t="inlineStr">
        <is>
          <t>Vestido Floral</t>
        </is>
      </c>
      <c r="F78" t="n">
        <v>11.17</v>
      </c>
      <c r="G78" t="inlineStr">
        <is>
          <t>En negociación</t>
        </is>
      </c>
      <c r="H78" t="inlineStr">
        <is>
          <t>Página Web</t>
        </is>
      </c>
      <c r="I78" t="inlineStr">
        <is>
          <t>Media</t>
        </is>
      </c>
      <c r="J78" t="inlineStr">
        <is>
          <t>Abril</t>
        </is>
      </c>
      <c r="K78" t="inlineStr">
        <is>
          <t>Interesada en vestido floral</t>
        </is>
      </c>
      <c r="L78" t="inlineStr">
        <is>
          <t>01/05/2026</t>
        </is>
      </c>
    </row>
    <row r="79">
      <c r="A79" t="inlineStr">
        <is>
          <t>L1077</t>
        </is>
      </c>
      <c r="B79" t="inlineStr">
        <is>
          <t>19/04/2026</t>
        </is>
      </c>
      <c r="C79" t="inlineStr">
        <is>
          <t>Karla Rodríguez</t>
        </is>
      </c>
      <c r="D79" t="inlineStr">
        <is>
          <t>Kitty Boutique</t>
        </is>
      </c>
      <c r="E79" t="inlineStr">
        <is>
          <t>Falda Jeans</t>
        </is>
      </c>
      <c r="F79" t="n">
        <v>20.95</v>
      </c>
      <c r="G79" t="inlineStr">
        <is>
          <t>En negociación</t>
        </is>
      </c>
      <c r="H79" t="inlineStr">
        <is>
          <t>WhatsApp</t>
        </is>
      </c>
      <c r="I79" t="inlineStr">
        <is>
          <t>Alta</t>
        </is>
      </c>
      <c r="J79" t="inlineStr">
        <is>
          <t>Abril</t>
        </is>
      </c>
      <c r="K79" t="inlineStr">
        <is>
          <t>Interesada en falda jeans</t>
        </is>
      </c>
      <c r="L79" t="inlineStr">
        <is>
          <t>09/05/2026</t>
        </is>
      </c>
    </row>
    <row r="80">
      <c r="A80" t="inlineStr">
        <is>
          <t>L1078</t>
        </is>
      </c>
      <c r="B80" t="inlineStr">
        <is>
          <t>20/04/2026</t>
        </is>
      </c>
      <c r="C80" t="inlineStr">
        <is>
          <t>Mayra Alvarado</t>
        </is>
      </c>
      <c r="D80" t="inlineStr">
        <is>
          <t>Kitty Boutique</t>
        </is>
      </c>
      <c r="E80" t="inlineStr">
        <is>
          <t>Conjunto Casual</t>
        </is>
      </c>
      <c r="F80" t="n">
        <v>10.91</v>
      </c>
      <c r="G80" t="inlineStr">
        <is>
          <t>Pendiente</t>
        </is>
      </c>
      <c r="H80" t="inlineStr">
        <is>
          <t>TikTok</t>
        </is>
      </c>
      <c r="I80" t="inlineStr">
        <is>
          <t>Baja</t>
        </is>
      </c>
      <c r="J80" t="inlineStr">
        <is>
          <t>Abril</t>
        </is>
      </c>
      <c r="K80" t="inlineStr">
        <is>
          <t>Interesada en conjunto casual</t>
        </is>
      </c>
      <c r="L80" t="inlineStr">
        <is>
          <t>30/04/2026</t>
        </is>
      </c>
    </row>
    <row r="81">
      <c r="A81" t="inlineStr">
        <is>
          <t>L1079</t>
        </is>
      </c>
      <c r="B81" t="inlineStr">
        <is>
          <t>22/04/2026</t>
        </is>
      </c>
      <c r="C81" t="inlineStr">
        <is>
          <t>Melanie Vélez</t>
        </is>
      </c>
      <c r="D81" t="inlineStr">
        <is>
          <t>Kitty Boutique</t>
        </is>
      </c>
      <c r="E81" t="inlineStr">
        <is>
          <t>Conjunto Casual</t>
        </is>
      </c>
      <c r="F81" t="n">
        <v>20.69</v>
      </c>
      <c r="G81" t="inlineStr">
        <is>
          <t>Apartado</t>
        </is>
      </c>
      <c r="H81" t="inlineStr">
        <is>
          <t>Instagram</t>
        </is>
      </c>
      <c r="I81" t="inlineStr">
        <is>
          <t>Baja</t>
        </is>
      </c>
      <c r="J81" t="inlineStr">
        <is>
          <t>Abril</t>
        </is>
      </c>
      <c r="K81" t="inlineStr">
        <is>
          <t>Interesada en conjunto casual</t>
        </is>
      </c>
      <c r="L81" t="inlineStr">
        <is>
          <t>13/05/2026</t>
        </is>
      </c>
    </row>
    <row r="82">
      <c r="A82" t="inlineStr">
        <is>
          <t>L1080</t>
        </is>
      </c>
      <c r="B82" t="inlineStr">
        <is>
          <t>25/04/2026</t>
        </is>
      </c>
      <c r="C82" t="inlineStr">
        <is>
          <t>Valeria Gómez</t>
        </is>
      </c>
      <c r="D82" t="inlineStr">
        <is>
          <t>Kitty Boutique</t>
        </is>
      </c>
      <c r="E82" t="inlineStr">
        <is>
          <t>Top Elegante</t>
        </is>
      </c>
      <c r="F82" t="n">
        <v>17.21</v>
      </c>
      <c r="G82" t="inlineStr">
        <is>
          <t>Contactada</t>
        </is>
      </c>
      <c r="H82" t="inlineStr">
        <is>
          <t>Facebook</t>
        </is>
      </c>
      <c r="I82" t="inlineStr">
        <is>
          <t>Baja</t>
        </is>
      </c>
      <c r="J82" t="inlineStr">
        <is>
          <t>Abril</t>
        </is>
      </c>
      <c r="K82" t="inlineStr">
        <is>
          <t>Interesada en top elegante</t>
        </is>
      </c>
      <c r="L82" t="inlineStr">
        <is>
          <t>20/05/2026</t>
        </is>
      </c>
    </row>
    <row r="83">
      <c r="A83" t="inlineStr">
        <is>
          <t>L1081</t>
        </is>
      </c>
      <c r="B83" t="inlineStr">
        <is>
          <t>26/04/2026</t>
        </is>
      </c>
      <c r="C83" t="inlineStr">
        <is>
          <t>Nicole Chávez</t>
        </is>
      </c>
      <c r="D83" t="inlineStr">
        <is>
          <t>Kitty Boutique</t>
        </is>
      </c>
      <c r="E83" t="inlineStr">
        <is>
          <t>Vestido Floral</t>
        </is>
      </c>
      <c r="F83" t="n">
        <v>19.28</v>
      </c>
      <c r="G83" t="inlineStr">
        <is>
          <t>Contactada</t>
        </is>
      </c>
      <c r="H83" t="inlineStr">
        <is>
          <t>WhatsApp</t>
        </is>
      </c>
      <c r="I83" t="inlineStr">
        <is>
          <t>Alta</t>
        </is>
      </c>
      <c r="J83" t="inlineStr">
        <is>
          <t>Abril</t>
        </is>
      </c>
      <c r="K83" t="inlineStr">
        <is>
          <t>Interesada en vestido floral</t>
        </is>
      </c>
      <c r="L83" t="inlineStr">
        <is>
          <t>11/05/2026</t>
        </is>
      </c>
    </row>
    <row r="84">
      <c r="A84" t="inlineStr">
        <is>
          <t>L1082</t>
        </is>
      </c>
      <c r="B84" t="inlineStr">
        <is>
          <t>26/04/2026</t>
        </is>
      </c>
      <c r="C84" t="inlineStr">
        <is>
          <t>Verónica Chávez</t>
        </is>
      </c>
      <c r="D84" t="inlineStr">
        <is>
          <t>Kitty Boutique</t>
        </is>
      </c>
      <c r="E84" t="inlineStr">
        <is>
          <t>Bolso Fashion</t>
        </is>
      </c>
      <c r="F84" t="n">
        <v>20.98</v>
      </c>
      <c r="G84" t="inlineStr">
        <is>
          <t>Vendido</t>
        </is>
      </c>
      <c r="H84" t="inlineStr">
        <is>
          <t>Facebook</t>
        </is>
      </c>
      <c r="I84" t="inlineStr">
        <is>
          <t>Baja</t>
        </is>
      </c>
      <c r="J84" t="inlineStr">
        <is>
          <t>Abril</t>
        </is>
      </c>
      <c r="K84" t="inlineStr">
        <is>
          <t>Interesada en bolso fashion</t>
        </is>
      </c>
      <c r="L84" t="inlineStr">
        <is>
          <t>21/05/2026</t>
        </is>
      </c>
    </row>
    <row r="85">
      <c r="A85" t="inlineStr">
        <is>
          <t>L1083</t>
        </is>
      </c>
      <c r="B85" t="inlineStr">
        <is>
          <t>28/04/2026</t>
        </is>
      </c>
      <c r="C85" t="inlineStr">
        <is>
          <t>Briggitte Torres</t>
        </is>
      </c>
      <c r="D85" t="inlineStr">
        <is>
          <t>Kitty Boutique</t>
        </is>
      </c>
      <c r="E85" t="inlineStr">
        <is>
          <t>Blazer Mujer</t>
        </is>
      </c>
      <c r="F85" t="n">
        <v>6.73</v>
      </c>
      <c r="G85" t="inlineStr">
        <is>
          <t>Pendiente</t>
        </is>
      </c>
      <c r="H85" t="inlineStr">
        <is>
          <t>TikTok</t>
        </is>
      </c>
      <c r="I85" t="inlineStr">
        <is>
          <t>Media</t>
        </is>
      </c>
      <c r="J85" t="inlineStr">
        <is>
          <t>Abril</t>
        </is>
      </c>
      <c r="K85" t="inlineStr">
        <is>
          <t>Interesada en blazer mujer</t>
        </is>
      </c>
      <c r="L85" t="inlineStr">
        <is>
          <t>22/05/2026</t>
        </is>
      </c>
    </row>
    <row r="86">
      <c r="A86" t="inlineStr">
        <is>
          <t>L1084</t>
        </is>
      </c>
      <c r="B86" t="inlineStr">
        <is>
          <t>29/04/2026</t>
        </is>
      </c>
      <c r="C86" t="inlineStr">
        <is>
          <t>Melanie Alvarado</t>
        </is>
      </c>
      <c r="D86" t="inlineStr">
        <is>
          <t>Kitty Boutique</t>
        </is>
      </c>
      <c r="E86" t="inlineStr">
        <is>
          <t>Blazer Mujer</t>
        </is>
      </c>
      <c r="F86" t="n">
        <v>14.56</v>
      </c>
      <c r="G86" t="inlineStr">
        <is>
          <t>Apartado</t>
        </is>
      </c>
      <c r="H86" t="inlineStr">
        <is>
          <t>WhatsApp</t>
        </is>
      </c>
      <c r="I86" t="inlineStr">
        <is>
          <t>Baja</t>
        </is>
      </c>
      <c r="J86" t="inlineStr">
        <is>
          <t>Abril</t>
        </is>
      </c>
      <c r="K86" t="inlineStr">
        <is>
          <t>Interesada en blazer mujer</t>
        </is>
      </c>
      <c r="L86" t="inlineStr">
        <is>
          <t>15/05/2026</t>
        </is>
      </c>
    </row>
    <row r="87">
      <c r="A87" t="inlineStr">
        <is>
          <t>L1085</t>
        </is>
      </c>
      <c r="B87" t="inlineStr">
        <is>
          <t>02/05/2026</t>
        </is>
      </c>
      <c r="C87" t="inlineStr">
        <is>
          <t>Liseth Tomalá</t>
        </is>
      </c>
      <c r="D87" t="inlineStr">
        <is>
          <t>Kitty Boutique</t>
        </is>
      </c>
      <c r="E87" t="inlineStr">
        <is>
          <t>Blusa Suplex</t>
        </is>
      </c>
      <c r="F87" t="n">
        <v>15.1</v>
      </c>
      <c r="G87" t="inlineStr">
        <is>
          <t>Vendido</t>
        </is>
      </c>
      <c r="H87" t="inlineStr">
        <is>
          <t>WhatsApp</t>
        </is>
      </c>
      <c r="I87" t="inlineStr">
        <is>
          <t>Baja</t>
        </is>
      </c>
      <c r="J87" t="inlineStr">
        <is>
          <t>Mayo</t>
        </is>
      </c>
      <c r="K87" t="inlineStr">
        <is>
          <t>Interesada en blusa suplex</t>
        </is>
      </c>
      <c r="L87" t="inlineStr">
        <is>
          <t>13/05/2026</t>
        </is>
      </c>
    </row>
    <row r="88">
      <c r="A88" t="inlineStr">
        <is>
          <t>L1086</t>
        </is>
      </c>
      <c r="B88" t="inlineStr">
        <is>
          <t>02/05/2026</t>
        </is>
      </c>
      <c r="C88" t="inlineStr">
        <is>
          <t>Fernanda Yagual</t>
        </is>
      </c>
      <c r="D88" t="inlineStr">
        <is>
          <t>Kitty Boutique</t>
        </is>
      </c>
      <c r="E88" t="inlineStr">
        <is>
          <t>Conjunto Casual</t>
        </is>
      </c>
      <c r="F88" t="n">
        <v>11.01</v>
      </c>
      <c r="G88" t="inlineStr">
        <is>
          <t>Pendiente</t>
        </is>
      </c>
      <c r="H88" t="inlineStr">
        <is>
          <t>TikTok</t>
        </is>
      </c>
      <c r="I88" t="inlineStr">
        <is>
          <t>Baja</t>
        </is>
      </c>
      <c r="J88" t="inlineStr">
        <is>
          <t>Mayo</t>
        </is>
      </c>
      <c r="K88" t="inlineStr">
        <is>
          <t>Interesada en conjunto casual</t>
        </is>
      </c>
      <c r="L88" t="inlineStr">
        <is>
          <t>15/05/2026</t>
        </is>
      </c>
    </row>
    <row r="89">
      <c r="A89" t="inlineStr">
        <is>
          <t>L1087</t>
        </is>
      </c>
      <c r="B89" t="inlineStr">
        <is>
          <t>05/05/2026</t>
        </is>
      </c>
      <c r="C89" t="inlineStr">
        <is>
          <t>Ana Tomalá</t>
        </is>
      </c>
      <c r="D89" t="inlineStr">
        <is>
          <t>Kitty Boutique</t>
        </is>
      </c>
      <c r="E89" t="inlineStr">
        <is>
          <t>Vestido Floral</t>
        </is>
      </c>
      <c r="F89" t="n">
        <v>22.24</v>
      </c>
      <c r="G89" t="inlineStr">
        <is>
          <t>En negociación</t>
        </is>
      </c>
      <c r="H89" t="inlineStr">
        <is>
          <t>Instagram</t>
        </is>
      </c>
      <c r="I89" t="inlineStr">
        <is>
          <t>Media</t>
        </is>
      </c>
      <c r="J89" t="inlineStr">
        <is>
          <t>Mayo</t>
        </is>
      </c>
      <c r="K89" t="inlineStr">
        <is>
          <t>Interesada en vestido floral</t>
        </is>
      </c>
      <c r="L89" t="inlineStr">
        <is>
          <t>29/05/2026</t>
        </is>
      </c>
    </row>
    <row r="90">
      <c r="A90" t="inlineStr">
        <is>
          <t>L1088</t>
        </is>
      </c>
      <c r="B90" t="inlineStr">
        <is>
          <t>04/05/2026</t>
        </is>
      </c>
      <c r="C90" t="inlineStr">
        <is>
          <t>Fernanda Borbor</t>
        </is>
      </c>
      <c r="D90" t="inlineStr">
        <is>
          <t>Kitty Boutique</t>
        </is>
      </c>
      <c r="E90" t="inlineStr">
        <is>
          <t>Bolso Fashion</t>
        </is>
      </c>
      <c r="F90" t="n">
        <v>19.47</v>
      </c>
      <c r="G90" t="inlineStr">
        <is>
          <t>En negociación</t>
        </is>
      </c>
      <c r="H90" t="inlineStr">
        <is>
          <t>Facebook</t>
        </is>
      </c>
      <c r="I90" t="inlineStr">
        <is>
          <t>Baja</t>
        </is>
      </c>
      <c r="J90" t="inlineStr">
        <is>
          <t>Mayo</t>
        </is>
      </c>
      <c r="K90" t="inlineStr">
        <is>
          <t>Interesada en bolso fashion</t>
        </is>
      </c>
      <c r="L90" t="inlineStr">
        <is>
          <t>18/05/2026</t>
        </is>
      </c>
    </row>
    <row r="91">
      <c r="A91" t="inlineStr">
        <is>
          <t>L1089</t>
        </is>
      </c>
      <c r="B91" t="inlineStr">
        <is>
          <t>06/05/2026</t>
        </is>
      </c>
      <c r="C91" t="inlineStr">
        <is>
          <t>Karla Quiñonez</t>
        </is>
      </c>
      <c r="D91" t="inlineStr">
        <is>
          <t>Kitty Boutique</t>
        </is>
      </c>
      <c r="E91" t="inlineStr">
        <is>
          <t>Conjunto Casual</t>
        </is>
      </c>
      <c r="F91" t="n">
        <v>15.54</v>
      </c>
      <c r="G91" t="inlineStr">
        <is>
          <t>Pendiente</t>
        </is>
      </c>
      <c r="H91" t="inlineStr">
        <is>
          <t>Instagram</t>
        </is>
      </c>
      <c r="I91" t="inlineStr">
        <is>
          <t>Baja</t>
        </is>
      </c>
      <c r="J91" t="inlineStr">
        <is>
          <t>Mayo</t>
        </is>
      </c>
      <c r="K91" t="inlineStr">
        <is>
          <t>Interesada en conjunto casual</t>
        </is>
      </c>
      <c r="L91" t="inlineStr">
        <is>
          <t>25/05/2026</t>
        </is>
      </c>
    </row>
    <row r="92">
      <c r="A92" t="inlineStr">
        <is>
          <t>L1090</t>
        </is>
      </c>
      <c r="B92" t="inlineStr">
        <is>
          <t>08/05/2026</t>
        </is>
      </c>
      <c r="C92" t="inlineStr">
        <is>
          <t>Ana Rodríguez</t>
        </is>
      </c>
      <c r="D92" t="inlineStr">
        <is>
          <t>Kitty Boutique</t>
        </is>
      </c>
      <c r="E92" t="inlineStr">
        <is>
          <t>Blusa Casual</t>
        </is>
      </c>
      <c r="F92" t="n">
        <v>11.94</v>
      </c>
      <c r="G92" t="inlineStr">
        <is>
          <t>Apartado</t>
        </is>
      </c>
      <c r="H92" t="inlineStr">
        <is>
          <t>TikTok</t>
        </is>
      </c>
      <c r="I92" t="inlineStr">
        <is>
          <t>Baja</t>
        </is>
      </c>
      <c r="J92" t="inlineStr">
        <is>
          <t>Mayo</t>
        </is>
      </c>
      <c r="K92" t="inlineStr">
        <is>
          <t>Interesada en blusa casual</t>
        </is>
      </c>
      <c r="L92" t="inlineStr">
        <is>
          <t>31/05/2026</t>
        </is>
      </c>
    </row>
    <row r="93">
      <c r="A93" t="inlineStr">
        <is>
          <t>L1091</t>
        </is>
      </c>
      <c r="B93" t="inlineStr">
        <is>
          <t>08/05/2026</t>
        </is>
      </c>
      <c r="C93" t="inlineStr">
        <is>
          <t>Ximena Reyes</t>
        </is>
      </c>
      <c r="D93" t="inlineStr">
        <is>
          <t>Kitty Boutique</t>
        </is>
      </c>
      <c r="E93" t="inlineStr">
        <is>
          <t>Blusa Suplex</t>
        </is>
      </c>
      <c r="F93" t="n">
        <v>16.32</v>
      </c>
      <c r="G93" t="inlineStr">
        <is>
          <t>En negociación</t>
        </is>
      </c>
      <c r="H93" t="inlineStr">
        <is>
          <t>TikTok</t>
        </is>
      </c>
      <c r="I93" t="inlineStr">
        <is>
          <t>Baja</t>
        </is>
      </c>
      <c r="J93" t="inlineStr">
        <is>
          <t>Mayo</t>
        </is>
      </c>
      <c r="K93" t="inlineStr">
        <is>
          <t>Interesada en blusa suplex</t>
        </is>
      </c>
      <c r="L93" t="inlineStr">
        <is>
          <t>20/05/2026</t>
        </is>
      </c>
    </row>
    <row r="94">
      <c r="A94" t="inlineStr">
        <is>
          <t>L1092</t>
        </is>
      </c>
      <c r="B94" t="inlineStr">
        <is>
          <t>12/05/2026</t>
        </is>
      </c>
      <c r="C94" t="inlineStr">
        <is>
          <t>Fernanda Macías</t>
        </is>
      </c>
      <c r="D94" t="inlineStr">
        <is>
          <t>Kitty Boutique</t>
        </is>
      </c>
      <c r="E94" t="inlineStr">
        <is>
          <t>Blazer Mujer</t>
        </is>
      </c>
      <c r="F94" t="n">
        <v>11.15</v>
      </c>
      <c r="G94" t="inlineStr">
        <is>
          <t>Apartado</t>
        </is>
      </c>
      <c r="H94" t="inlineStr">
        <is>
          <t>Página Web</t>
        </is>
      </c>
      <c r="I94" t="inlineStr">
        <is>
          <t>Baja</t>
        </is>
      </c>
      <c r="J94" t="inlineStr">
        <is>
          <t>Mayo</t>
        </is>
      </c>
      <c r="K94" t="inlineStr">
        <is>
          <t>Interesada en blazer mujer</t>
        </is>
      </c>
      <c r="L94" t="inlineStr">
        <is>
          <t>25/05/2026</t>
        </is>
      </c>
    </row>
    <row r="95">
      <c r="A95" t="inlineStr">
        <is>
          <t>L1093</t>
        </is>
      </c>
      <c r="B95" t="inlineStr">
        <is>
          <t>11/05/2026</t>
        </is>
      </c>
      <c r="C95" t="inlineStr">
        <is>
          <t>Liseth Suárez</t>
        </is>
      </c>
      <c r="D95" t="inlineStr">
        <is>
          <t>Kitty Boutique</t>
        </is>
      </c>
      <c r="E95" t="inlineStr">
        <is>
          <t>Top Elegante</t>
        </is>
      </c>
      <c r="F95" t="n">
        <v>10.04</v>
      </c>
      <c r="G95" t="inlineStr">
        <is>
          <t>Vendido</t>
        </is>
      </c>
      <c r="H95" t="inlineStr">
        <is>
          <t>WhatsApp</t>
        </is>
      </c>
      <c r="I95" t="inlineStr">
        <is>
          <t>Media</t>
        </is>
      </c>
      <c r="J95" t="inlineStr">
        <is>
          <t>Mayo</t>
        </is>
      </c>
      <c r="K95" t="inlineStr">
        <is>
          <t>Interesada en top elegante</t>
        </is>
      </c>
      <c r="L95" t="inlineStr">
        <is>
          <t>24/05/2026</t>
        </is>
      </c>
    </row>
    <row r="96">
      <c r="A96" t="inlineStr">
        <is>
          <t>L1094</t>
        </is>
      </c>
      <c r="B96" t="inlineStr">
        <is>
          <t>14/05/2026</t>
        </is>
      </c>
      <c r="C96" t="inlineStr">
        <is>
          <t>Valeria Gómez</t>
        </is>
      </c>
      <c r="D96" t="inlineStr">
        <is>
          <t>Kitty Boutique</t>
        </is>
      </c>
      <c r="E96" t="inlineStr">
        <is>
          <t>Pantalón Jeans</t>
        </is>
      </c>
      <c r="F96" t="n">
        <v>21.9</v>
      </c>
      <c r="G96" t="inlineStr">
        <is>
          <t>Vendido</t>
        </is>
      </c>
      <c r="H96" t="inlineStr">
        <is>
          <t>Facebook</t>
        </is>
      </c>
      <c r="I96" t="inlineStr">
        <is>
          <t>Alta</t>
        </is>
      </c>
      <c r="J96" t="inlineStr">
        <is>
          <t>Mayo</t>
        </is>
      </c>
      <c r="K96" t="inlineStr">
        <is>
          <t>Interesada en pantalón jeans</t>
        </is>
      </c>
      <c r="L96" t="inlineStr">
        <is>
          <t>04/06/2026</t>
        </is>
      </c>
    </row>
    <row r="97">
      <c r="A97" t="inlineStr">
        <is>
          <t>L1095</t>
        </is>
      </c>
      <c r="B97" t="inlineStr">
        <is>
          <t>15/05/2026</t>
        </is>
      </c>
      <c r="C97" t="inlineStr">
        <is>
          <t>Melanie Reyes</t>
        </is>
      </c>
      <c r="D97" t="inlineStr">
        <is>
          <t>Kitty Boutique</t>
        </is>
      </c>
      <c r="E97" t="inlineStr">
        <is>
          <t>Bolso Fashion</t>
        </is>
      </c>
      <c r="F97" t="n">
        <v>8.84</v>
      </c>
      <c r="G97" t="inlineStr">
        <is>
          <t>Pendiente</t>
        </is>
      </c>
      <c r="H97" t="inlineStr">
        <is>
          <t>Página Web</t>
        </is>
      </c>
      <c r="I97" t="inlineStr">
        <is>
          <t>Alta</t>
        </is>
      </c>
      <c r="J97" t="inlineStr">
        <is>
          <t>Mayo</t>
        </is>
      </c>
      <c r="K97" t="inlineStr">
        <is>
          <t>Interesada en bolso fashion</t>
        </is>
      </c>
      <c r="L97" t="inlineStr">
        <is>
          <t>23/05/2026</t>
        </is>
      </c>
    </row>
    <row r="98">
      <c r="A98" t="inlineStr">
        <is>
          <t>L1096</t>
        </is>
      </c>
      <c r="B98" t="inlineStr">
        <is>
          <t>18/05/2026</t>
        </is>
      </c>
      <c r="C98" t="inlineStr">
        <is>
          <t>Verónica Panchana</t>
        </is>
      </c>
      <c r="D98" t="inlineStr">
        <is>
          <t>Kitty Boutique</t>
        </is>
      </c>
      <c r="E98" t="inlineStr">
        <is>
          <t>Accesorios</t>
        </is>
      </c>
      <c r="F98" t="n">
        <v>17.12</v>
      </c>
      <c r="G98" t="inlineStr">
        <is>
          <t>Apartado</t>
        </is>
      </c>
      <c r="H98" t="inlineStr">
        <is>
          <t>TikTok</t>
        </is>
      </c>
      <c r="I98" t="inlineStr">
        <is>
          <t>Media</t>
        </is>
      </c>
      <c r="J98" t="inlineStr">
        <is>
          <t>Mayo</t>
        </is>
      </c>
      <c r="K98" t="inlineStr">
        <is>
          <t>Interesada en accesorios</t>
        </is>
      </c>
      <c r="L98" t="inlineStr">
        <is>
          <t>30/05/2026</t>
        </is>
      </c>
    </row>
    <row r="99">
      <c r="A99" t="inlineStr">
        <is>
          <t>L1097</t>
        </is>
      </c>
      <c r="B99" t="inlineStr">
        <is>
          <t>18/05/2026</t>
        </is>
      </c>
      <c r="C99" t="inlineStr">
        <is>
          <t>Fernanda Tomalá</t>
        </is>
      </c>
      <c r="D99" t="inlineStr">
        <is>
          <t>Kitty Boutique</t>
        </is>
      </c>
      <c r="E99" t="inlineStr">
        <is>
          <t>Accesorios</t>
        </is>
      </c>
      <c r="F99" t="n">
        <v>8.609999999999999</v>
      </c>
      <c r="G99" t="inlineStr">
        <is>
          <t>Pendiente</t>
        </is>
      </c>
      <c r="H99" t="inlineStr">
        <is>
          <t>Página Web</t>
        </is>
      </c>
      <c r="I99" t="inlineStr">
        <is>
          <t>Media</t>
        </is>
      </c>
      <c r="J99" t="inlineStr">
        <is>
          <t>Mayo</t>
        </is>
      </c>
      <c r="K99" t="inlineStr">
        <is>
          <t>Interesada en accesorios</t>
        </is>
      </c>
      <c r="L99" t="inlineStr">
        <is>
          <t>31/05/2026</t>
        </is>
      </c>
    </row>
    <row r="100">
      <c r="A100" t="inlineStr">
        <is>
          <t>L1098</t>
        </is>
      </c>
      <c r="B100" t="inlineStr">
        <is>
          <t>19/05/2026</t>
        </is>
      </c>
      <c r="C100" t="inlineStr">
        <is>
          <t>María José Alvarado</t>
        </is>
      </c>
      <c r="D100" t="inlineStr">
        <is>
          <t>Kitty Boutique</t>
        </is>
      </c>
      <c r="E100" t="inlineStr">
        <is>
          <t>Blusa Suplex</t>
        </is>
      </c>
      <c r="F100" t="n">
        <v>21.51</v>
      </c>
      <c r="G100" t="inlineStr">
        <is>
          <t>Pendiente</t>
        </is>
      </c>
      <c r="H100" t="inlineStr">
        <is>
          <t>Facebook</t>
        </is>
      </c>
      <c r="I100" t="inlineStr">
        <is>
          <t>Alta</t>
        </is>
      </c>
      <c r="J100" t="inlineStr">
        <is>
          <t>Mayo</t>
        </is>
      </c>
      <c r="K100" t="inlineStr">
        <is>
          <t>Interesada en blusa suplex</t>
        </is>
      </c>
      <c r="L100" t="inlineStr">
        <is>
          <t>24/05/2026</t>
        </is>
      </c>
    </row>
    <row r="101">
      <c r="A101" t="inlineStr">
        <is>
          <t>L1099</t>
        </is>
      </c>
      <c r="B101" t="inlineStr">
        <is>
          <t>20/05/2026</t>
        </is>
      </c>
      <c r="C101" t="inlineStr">
        <is>
          <t>Mayra Borbor</t>
        </is>
      </c>
      <c r="D101" t="inlineStr">
        <is>
          <t>Kitty Boutique</t>
        </is>
      </c>
      <c r="E101" t="inlineStr">
        <is>
          <t>Pantalón Jeans</t>
        </is>
      </c>
      <c r="F101" t="n">
        <v>21.13</v>
      </c>
      <c r="G101" t="inlineStr">
        <is>
          <t>Apartado</t>
        </is>
      </c>
      <c r="H101" t="inlineStr">
        <is>
          <t>Instagram</t>
        </is>
      </c>
      <c r="I101" t="inlineStr">
        <is>
          <t>Baja</t>
        </is>
      </c>
      <c r="J101" t="inlineStr">
        <is>
          <t>Mayo</t>
        </is>
      </c>
      <c r="K101" t="inlineStr">
        <is>
          <t>Interesada en pantalón jeans</t>
        </is>
      </c>
      <c r="L101" t="inlineStr">
        <is>
          <t>26/05/2026</t>
        </is>
      </c>
    </row>
    <row r="102">
      <c r="A102" t="inlineStr">
        <is>
          <t>L1100</t>
        </is>
      </c>
      <c r="B102" t="inlineStr">
        <is>
          <t>22/05/2026</t>
        </is>
      </c>
      <c r="C102" t="inlineStr">
        <is>
          <t>Estefanía Quiñonez</t>
        </is>
      </c>
      <c r="D102" t="inlineStr">
        <is>
          <t>Kitty Boutique</t>
        </is>
      </c>
      <c r="E102" t="inlineStr">
        <is>
          <t>Blusa Casual</t>
        </is>
      </c>
      <c r="F102" t="n">
        <v>12.15</v>
      </c>
      <c r="G102" t="inlineStr">
        <is>
          <t>En negociación</t>
        </is>
      </c>
      <c r="H102" t="inlineStr">
        <is>
          <t>Referido</t>
        </is>
      </c>
      <c r="I102" t="inlineStr">
        <is>
          <t>Alta</t>
        </is>
      </c>
      <c r="J102" t="inlineStr">
        <is>
          <t>Mayo</t>
        </is>
      </c>
      <c r="K102" t="inlineStr">
        <is>
          <t>Interesada en blusa casual</t>
        </is>
      </c>
      <c r="L102" t="inlineStr">
        <is>
          <t>08/06/2026</t>
        </is>
      </c>
    </row>
    <row r="103">
      <c r="A103" t="inlineStr">
        <is>
          <t>L1101</t>
        </is>
      </c>
      <c r="B103" t="inlineStr">
        <is>
          <t>25/05/2026</t>
        </is>
      </c>
      <c r="C103" t="inlineStr">
        <is>
          <t>Fernanda Rodríguez</t>
        </is>
      </c>
      <c r="D103" t="inlineStr">
        <is>
          <t>Kitty Boutique</t>
        </is>
      </c>
      <c r="E103" t="inlineStr">
        <is>
          <t>Conjunto Casual</t>
        </is>
      </c>
      <c r="F103" t="n">
        <v>9.41</v>
      </c>
      <c r="G103" t="inlineStr">
        <is>
          <t>Contactada</t>
        </is>
      </c>
      <c r="H103" t="inlineStr">
        <is>
          <t>Instagram</t>
        </is>
      </c>
      <c r="I103" t="inlineStr">
        <is>
          <t>Baja</t>
        </is>
      </c>
      <c r="J103" t="inlineStr">
        <is>
          <t>Mayo</t>
        </is>
      </c>
      <c r="K103" t="inlineStr">
        <is>
          <t>Interesada en conjunto casual</t>
        </is>
      </c>
      <c r="L103" t="inlineStr">
        <is>
          <t>31/05/2026</t>
        </is>
      </c>
    </row>
    <row r="104">
      <c r="A104" t="inlineStr">
        <is>
          <t>L1102</t>
        </is>
      </c>
      <c r="B104" t="inlineStr">
        <is>
          <t>24/05/2026</t>
        </is>
      </c>
      <c r="C104" t="inlineStr">
        <is>
          <t>Paola Borbor</t>
        </is>
      </c>
      <c r="D104" t="inlineStr">
        <is>
          <t>Kitty Boutique</t>
        </is>
      </c>
      <c r="E104" t="inlineStr">
        <is>
          <t>Falda Jeans</t>
        </is>
      </c>
      <c r="F104" t="n">
        <v>15.19</v>
      </c>
      <c r="G104" t="inlineStr">
        <is>
          <t>Apartado</t>
        </is>
      </c>
      <c r="H104" t="inlineStr">
        <is>
          <t>Página Web</t>
        </is>
      </c>
      <c r="I104" t="inlineStr">
        <is>
          <t>Alta</t>
        </is>
      </c>
      <c r="J104" t="inlineStr">
        <is>
          <t>Mayo</t>
        </is>
      </c>
      <c r="K104" t="inlineStr">
        <is>
          <t>Interesada en falda jeans</t>
        </is>
      </c>
      <c r="L104" t="inlineStr">
        <is>
          <t>01/06/2026</t>
        </is>
      </c>
    </row>
    <row r="105">
      <c r="A105" t="inlineStr">
        <is>
          <t>L1103</t>
        </is>
      </c>
      <c r="B105" t="inlineStr">
        <is>
          <t>26/05/2026</t>
        </is>
      </c>
      <c r="C105" t="inlineStr">
        <is>
          <t>Nicole Cedeño</t>
        </is>
      </c>
      <c r="D105" t="inlineStr">
        <is>
          <t>Kitty Boutique</t>
        </is>
      </c>
      <c r="E105" t="inlineStr">
        <is>
          <t>Bolso Fashion</t>
        </is>
      </c>
      <c r="F105" t="n">
        <v>23.59</v>
      </c>
      <c r="G105" t="inlineStr">
        <is>
          <t>Apartado</t>
        </is>
      </c>
      <c r="H105" t="inlineStr">
        <is>
          <t>WhatsApp</t>
        </is>
      </c>
      <c r="I105" t="inlineStr">
        <is>
          <t>Baja</t>
        </is>
      </c>
      <c r="J105" t="inlineStr">
        <is>
          <t>Mayo</t>
        </is>
      </c>
      <c r="K105" t="inlineStr">
        <is>
          <t>Interesada en bolso fashion</t>
        </is>
      </c>
      <c r="L105" t="inlineStr">
        <is>
          <t>20/06/2026</t>
        </is>
      </c>
    </row>
    <row r="106">
      <c r="A106" t="inlineStr">
        <is>
          <t>L1104</t>
        </is>
      </c>
      <c r="B106" t="inlineStr">
        <is>
          <t>29/05/2026</t>
        </is>
      </c>
      <c r="C106" t="inlineStr">
        <is>
          <t>Yadira Cedeño</t>
        </is>
      </c>
      <c r="D106" t="inlineStr">
        <is>
          <t>Kitty Boutique</t>
        </is>
      </c>
      <c r="E106" t="inlineStr">
        <is>
          <t>Vestido Floral</t>
        </is>
      </c>
      <c r="F106" t="n">
        <v>18.48</v>
      </c>
      <c r="G106" t="inlineStr">
        <is>
          <t>Pendiente</t>
        </is>
      </c>
      <c r="H106" t="inlineStr">
        <is>
          <t>Facebook</t>
        </is>
      </c>
      <c r="I106" t="inlineStr">
        <is>
          <t>Alta</t>
        </is>
      </c>
      <c r="J106" t="inlineStr">
        <is>
          <t>Mayo</t>
        </is>
      </c>
      <c r="K106" t="inlineStr">
        <is>
          <t>Interesada en vestido floral</t>
        </is>
      </c>
      <c r="L106" t="inlineStr">
        <is>
          <t>07/06/2026</t>
        </is>
      </c>
    </row>
    <row r="107">
      <c r="A107" t="inlineStr">
        <is>
          <t>L1105</t>
        </is>
      </c>
      <c r="B107" t="inlineStr">
        <is>
          <t>28/05/2026</t>
        </is>
      </c>
      <c r="C107" t="inlineStr">
        <is>
          <t>Mayra Chávez</t>
        </is>
      </c>
      <c r="D107" t="inlineStr">
        <is>
          <t>Kitty Boutique</t>
        </is>
      </c>
      <c r="E107" t="inlineStr">
        <is>
          <t>Accesorios</t>
        </is>
      </c>
      <c r="F107" t="n">
        <v>23.54</v>
      </c>
      <c r="G107" t="inlineStr">
        <is>
          <t>En negociación</t>
        </is>
      </c>
      <c r="H107" t="inlineStr">
        <is>
          <t>TikTok</t>
        </is>
      </c>
      <c r="I107" t="inlineStr">
        <is>
          <t>Alta</t>
        </is>
      </c>
      <c r="J107" t="inlineStr">
        <is>
          <t>Mayo</t>
        </is>
      </c>
      <c r="K107" t="inlineStr">
        <is>
          <t>Interesada en accesorios</t>
        </is>
      </c>
      <c r="L107" t="inlineStr">
        <is>
          <t>01/06/2026</t>
        </is>
      </c>
    </row>
    <row r="108">
      <c r="A108" t="inlineStr">
        <is>
          <t>L1106</t>
        </is>
      </c>
      <c r="B108" t="inlineStr">
        <is>
          <t>31/05/2026</t>
        </is>
      </c>
      <c r="C108" t="inlineStr">
        <is>
          <t>Fernanda Bravo</t>
        </is>
      </c>
      <c r="D108" t="inlineStr">
        <is>
          <t>Kitty Boutique</t>
        </is>
      </c>
      <c r="E108" t="inlineStr">
        <is>
          <t>Bolso Fashion</t>
        </is>
      </c>
      <c r="F108" t="n">
        <v>16.49</v>
      </c>
      <c r="G108" t="inlineStr">
        <is>
          <t>Apartado</t>
        </is>
      </c>
      <c r="H108" t="inlineStr">
        <is>
          <t>TikTok</t>
        </is>
      </c>
      <c r="I108" t="inlineStr">
        <is>
          <t>Alta</t>
        </is>
      </c>
      <c r="J108" t="inlineStr">
        <is>
          <t>Mayo</t>
        </is>
      </c>
      <c r="K108" t="inlineStr">
        <is>
          <t>Interesada en bolso fashion</t>
        </is>
      </c>
      <c r="L108" t="inlineStr">
        <is>
          <t>25/06/2026</t>
        </is>
      </c>
    </row>
    <row r="109">
      <c r="A109" t="inlineStr">
        <is>
          <t>L1107</t>
        </is>
      </c>
      <c r="B109" t="inlineStr">
        <is>
          <t>02/06/2026</t>
        </is>
      </c>
      <c r="C109" t="inlineStr">
        <is>
          <t>Mayra Vélez</t>
        </is>
      </c>
      <c r="D109" t="inlineStr">
        <is>
          <t>Kitty Boutique</t>
        </is>
      </c>
      <c r="E109" t="inlineStr">
        <is>
          <t>Vestido Floral</t>
        </is>
      </c>
      <c r="F109" t="n">
        <v>6.98</v>
      </c>
      <c r="G109" t="inlineStr">
        <is>
          <t>En negociación</t>
        </is>
      </c>
      <c r="H109" t="inlineStr">
        <is>
          <t>Instagram</t>
        </is>
      </c>
      <c r="I109" t="inlineStr">
        <is>
          <t>Baja</t>
        </is>
      </c>
      <c r="J109" t="inlineStr">
        <is>
          <t>Junio</t>
        </is>
      </c>
      <c r="K109" t="inlineStr">
        <is>
          <t>Interesada en vestido floral</t>
        </is>
      </c>
      <c r="L109" t="inlineStr">
        <is>
          <t>06/06/2026</t>
        </is>
      </c>
    </row>
    <row r="110">
      <c r="A110" t="inlineStr">
        <is>
          <t>L1108</t>
        </is>
      </c>
      <c r="B110" t="inlineStr">
        <is>
          <t>03/06/2026</t>
        </is>
      </c>
      <c r="C110" t="inlineStr">
        <is>
          <t>Estefanía Mendoza</t>
        </is>
      </c>
      <c r="D110" t="inlineStr">
        <is>
          <t>Kitty Boutique</t>
        </is>
      </c>
      <c r="E110" t="inlineStr">
        <is>
          <t>Falda Jeans</t>
        </is>
      </c>
      <c r="F110" t="n">
        <v>20.62</v>
      </c>
      <c r="G110" t="inlineStr">
        <is>
          <t>En negociación</t>
        </is>
      </c>
      <c r="H110" t="inlineStr">
        <is>
          <t>Instagram</t>
        </is>
      </c>
      <c r="I110" t="inlineStr">
        <is>
          <t>Media</t>
        </is>
      </c>
      <c r="J110" t="inlineStr">
        <is>
          <t>Junio</t>
        </is>
      </c>
      <c r="K110" t="inlineStr">
        <is>
          <t>Interesada en falda jeans</t>
        </is>
      </c>
      <c r="L110" t="inlineStr">
        <is>
          <t>24/06/2026</t>
        </is>
      </c>
    </row>
    <row r="111">
      <c r="A111" t="inlineStr">
        <is>
          <t>L1109</t>
        </is>
      </c>
      <c r="B111" t="inlineStr">
        <is>
          <t>05/06/2026</t>
        </is>
      </c>
      <c r="C111" t="inlineStr">
        <is>
          <t>Gabriela Chávez</t>
        </is>
      </c>
      <c r="D111" t="inlineStr">
        <is>
          <t>Kitty Boutique</t>
        </is>
      </c>
      <c r="E111" t="inlineStr">
        <is>
          <t>Blusa Casual</t>
        </is>
      </c>
      <c r="F111" t="n">
        <v>14.56</v>
      </c>
      <c r="G111" t="inlineStr">
        <is>
          <t>En negociación</t>
        </is>
      </c>
      <c r="H111" t="inlineStr">
        <is>
          <t>TikTok</t>
        </is>
      </c>
      <c r="I111" t="inlineStr">
        <is>
          <t>Alta</t>
        </is>
      </c>
      <c r="J111" t="inlineStr">
        <is>
          <t>Junio</t>
        </is>
      </c>
      <c r="K111" t="inlineStr">
        <is>
          <t>Interesada en blusa casual</t>
        </is>
      </c>
      <c r="L111" t="inlineStr">
        <is>
          <t>28/06/2026</t>
        </is>
      </c>
    </row>
    <row r="112">
      <c r="A112" t="inlineStr">
        <is>
          <t>L1110</t>
        </is>
      </c>
      <c r="B112" t="inlineStr">
        <is>
          <t>05/06/2026</t>
        </is>
      </c>
      <c r="C112" t="inlineStr">
        <is>
          <t>Andrea Gómez</t>
        </is>
      </c>
      <c r="D112" t="inlineStr">
        <is>
          <t>Kitty Boutique</t>
        </is>
      </c>
      <c r="E112" t="inlineStr">
        <is>
          <t>Vestido Floral</t>
        </is>
      </c>
      <c r="F112" t="n">
        <v>22.37</v>
      </c>
      <c r="G112" t="inlineStr">
        <is>
          <t>En negociación</t>
        </is>
      </c>
      <c r="H112" t="inlineStr">
        <is>
          <t>Facebook</t>
        </is>
      </c>
      <c r="I112" t="inlineStr">
        <is>
          <t>Media</t>
        </is>
      </c>
      <c r="J112" t="inlineStr">
        <is>
          <t>Junio</t>
        </is>
      </c>
      <c r="K112" t="inlineStr">
        <is>
          <t>Interesada en vestido floral</t>
        </is>
      </c>
      <c r="L112" t="inlineStr">
        <is>
          <t>19/06/2026</t>
        </is>
      </c>
    </row>
    <row r="113">
      <c r="A113" t="inlineStr">
        <is>
          <t>L1111</t>
        </is>
      </c>
      <c r="B113" t="inlineStr">
        <is>
          <t>08/06/2026</t>
        </is>
      </c>
      <c r="C113" t="inlineStr">
        <is>
          <t>Liseth Reyes</t>
        </is>
      </c>
      <c r="D113" t="inlineStr">
        <is>
          <t>Kitty Boutique</t>
        </is>
      </c>
      <c r="E113" t="inlineStr">
        <is>
          <t>Bolso Fashion</t>
        </is>
      </c>
      <c r="F113" t="n">
        <v>7.18</v>
      </c>
      <c r="G113" t="inlineStr">
        <is>
          <t>Apartado</t>
        </is>
      </c>
      <c r="H113" t="inlineStr">
        <is>
          <t>Página Web</t>
        </is>
      </c>
      <c r="I113" t="inlineStr">
        <is>
          <t>Media</t>
        </is>
      </c>
      <c r="J113" t="inlineStr">
        <is>
          <t>Junio</t>
        </is>
      </c>
      <c r="K113" t="inlineStr">
        <is>
          <t>Interesada en bolso fashion</t>
        </is>
      </c>
      <c r="L113" t="inlineStr">
        <is>
          <t>26/06/2026</t>
        </is>
      </c>
    </row>
    <row r="114">
      <c r="A114" t="inlineStr">
        <is>
          <t>L1112</t>
        </is>
      </c>
      <c r="B114" t="inlineStr">
        <is>
          <t>08/06/2026</t>
        </is>
      </c>
      <c r="C114" t="inlineStr">
        <is>
          <t>Briggitte Panchana</t>
        </is>
      </c>
      <c r="D114" t="inlineStr">
        <is>
          <t>Kitty Boutique</t>
        </is>
      </c>
      <c r="E114" t="inlineStr">
        <is>
          <t>Top Elegante</t>
        </is>
      </c>
      <c r="F114" t="n">
        <v>18.67</v>
      </c>
      <c r="G114" t="inlineStr">
        <is>
          <t>Apartado</t>
        </is>
      </c>
      <c r="H114" t="inlineStr">
        <is>
          <t>Referido</t>
        </is>
      </c>
      <c r="I114" t="inlineStr">
        <is>
          <t>Media</t>
        </is>
      </c>
      <c r="J114" t="inlineStr">
        <is>
          <t>Junio</t>
        </is>
      </c>
      <c r="K114" t="inlineStr">
        <is>
          <t>Interesada en top elegante</t>
        </is>
      </c>
      <c r="L114" t="inlineStr">
        <is>
          <t>21/06/2026</t>
        </is>
      </c>
    </row>
    <row r="115">
      <c r="A115" t="inlineStr">
        <is>
          <t>L1113</t>
        </is>
      </c>
      <c r="B115" t="inlineStr">
        <is>
          <t>09/06/2026</t>
        </is>
      </c>
      <c r="C115" t="inlineStr">
        <is>
          <t>Camila Borbor</t>
        </is>
      </c>
      <c r="D115" t="inlineStr">
        <is>
          <t>Kitty Boutique</t>
        </is>
      </c>
      <c r="E115" t="inlineStr">
        <is>
          <t>Conjunto Casual</t>
        </is>
      </c>
      <c r="F115" t="n">
        <v>20.49</v>
      </c>
      <c r="G115" t="inlineStr">
        <is>
          <t>Vendido</t>
        </is>
      </c>
      <c r="H115" t="inlineStr">
        <is>
          <t>WhatsApp</t>
        </is>
      </c>
      <c r="I115" t="inlineStr">
        <is>
          <t>Media</t>
        </is>
      </c>
      <c r="J115" t="inlineStr">
        <is>
          <t>Junio</t>
        </is>
      </c>
      <c r="K115" t="inlineStr">
        <is>
          <t>Interesada en conjunto casual</t>
        </is>
      </c>
      <c r="L115" t="inlineStr">
        <is>
          <t>13/06/2026</t>
        </is>
      </c>
    </row>
    <row r="116">
      <c r="A116" t="inlineStr">
        <is>
          <t>L1114</t>
        </is>
      </c>
      <c r="B116" t="inlineStr">
        <is>
          <t>10/06/2026</t>
        </is>
      </c>
      <c r="C116" t="inlineStr">
        <is>
          <t>María José Macías</t>
        </is>
      </c>
      <c r="D116" t="inlineStr">
        <is>
          <t>Kitty Boutique</t>
        </is>
      </c>
      <c r="E116" t="inlineStr">
        <is>
          <t>Bolso Fashion</t>
        </is>
      </c>
      <c r="F116" t="n">
        <v>14.61</v>
      </c>
      <c r="G116" t="inlineStr">
        <is>
          <t>Vendido</t>
        </is>
      </c>
      <c r="H116" t="inlineStr">
        <is>
          <t>WhatsApp</t>
        </is>
      </c>
      <c r="I116" t="inlineStr">
        <is>
          <t>Media</t>
        </is>
      </c>
      <c r="J116" t="inlineStr">
        <is>
          <t>Junio</t>
        </is>
      </c>
      <c r="K116" t="inlineStr">
        <is>
          <t>Interesada en bolso fashion</t>
        </is>
      </c>
      <c r="L116" t="inlineStr">
        <is>
          <t>19/06/2026</t>
        </is>
      </c>
    </row>
    <row r="117">
      <c r="A117" t="inlineStr">
        <is>
          <t>L1115</t>
        </is>
      </c>
      <c r="B117" t="inlineStr">
        <is>
          <t>11/06/2026</t>
        </is>
      </c>
      <c r="C117" t="inlineStr">
        <is>
          <t>Melanie Suárez</t>
        </is>
      </c>
      <c r="D117" t="inlineStr">
        <is>
          <t>Kitty Boutique</t>
        </is>
      </c>
      <c r="E117" t="inlineStr">
        <is>
          <t>Blusa Suplex</t>
        </is>
      </c>
      <c r="F117" t="n">
        <v>12.25</v>
      </c>
      <c r="G117" t="inlineStr">
        <is>
          <t>Contactada</t>
        </is>
      </c>
      <c r="H117" t="inlineStr">
        <is>
          <t>Página Web</t>
        </is>
      </c>
      <c r="I117" t="inlineStr">
        <is>
          <t>Baja</t>
        </is>
      </c>
      <c r="J117" t="inlineStr">
        <is>
          <t>Junio</t>
        </is>
      </c>
      <c r="K117" t="inlineStr">
        <is>
          <t>Interesada en blusa suplex</t>
        </is>
      </c>
      <c r="L117" t="inlineStr">
        <is>
          <t>14/06/2026</t>
        </is>
      </c>
    </row>
    <row r="118">
      <c r="A118" t="inlineStr">
        <is>
          <t>L1116</t>
        </is>
      </c>
      <c r="B118" t="inlineStr">
        <is>
          <t>14/06/2026</t>
        </is>
      </c>
      <c r="C118" t="inlineStr">
        <is>
          <t>Paola Gómez</t>
        </is>
      </c>
      <c r="D118" t="inlineStr">
        <is>
          <t>Kitty Boutique</t>
        </is>
      </c>
      <c r="E118" t="inlineStr">
        <is>
          <t>Conjunto Casual</t>
        </is>
      </c>
      <c r="F118" t="n">
        <v>18.48</v>
      </c>
      <c r="G118" t="inlineStr">
        <is>
          <t>Pendiente</t>
        </is>
      </c>
      <c r="H118" t="inlineStr">
        <is>
          <t>Instagram</t>
        </is>
      </c>
      <c r="I118" t="inlineStr">
        <is>
          <t>Media</t>
        </is>
      </c>
      <c r="J118" t="inlineStr">
        <is>
          <t>Junio</t>
        </is>
      </c>
      <c r="K118" t="inlineStr">
        <is>
          <t>Interesada en conjunto casual</t>
        </is>
      </c>
      <c r="L118" t="inlineStr">
        <is>
          <t>19/06/2026</t>
        </is>
      </c>
    </row>
    <row r="119">
      <c r="A119" t="inlineStr">
        <is>
          <t>L1117</t>
        </is>
      </c>
      <c r="B119" t="inlineStr">
        <is>
          <t>16/06/2026</t>
        </is>
      </c>
      <c r="C119" t="inlineStr">
        <is>
          <t>Mishell Tomalá</t>
        </is>
      </c>
      <c r="D119" t="inlineStr">
        <is>
          <t>Kitty Boutique</t>
        </is>
      </c>
      <c r="E119" t="inlineStr">
        <is>
          <t>Pantalón Jeans</t>
        </is>
      </c>
      <c r="F119" t="n">
        <v>24.63</v>
      </c>
      <c r="G119" t="inlineStr">
        <is>
          <t>En negociación</t>
        </is>
      </c>
      <c r="H119" t="inlineStr">
        <is>
          <t>Instagram</t>
        </is>
      </c>
      <c r="I119" t="inlineStr">
        <is>
          <t>Media</t>
        </is>
      </c>
      <c r="J119" t="inlineStr">
        <is>
          <t>Junio</t>
        </is>
      </c>
      <c r="K119" t="inlineStr">
        <is>
          <t>Interesada en pantalón jeans</t>
        </is>
      </c>
      <c r="L119" t="inlineStr">
        <is>
          <t>28/06/2026</t>
        </is>
      </c>
    </row>
    <row r="120">
      <c r="A120" t="inlineStr">
        <is>
          <t>L1118</t>
        </is>
      </c>
      <c r="B120" t="inlineStr">
        <is>
          <t>17/06/2026</t>
        </is>
      </c>
      <c r="C120" t="inlineStr">
        <is>
          <t>Mayra Bravo</t>
        </is>
      </c>
      <c r="D120" t="inlineStr">
        <is>
          <t>Kitty Boutique</t>
        </is>
      </c>
      <c r="E120" t="inlineStr">
        <is>
          <t>Vestido Floral</t>
        </is>
      </c>
      <c r="F120" t="n">
        <v>20.31</v>
      </c>
      <c r="G120" t="inlineStr">
        <is>
          <t>Contactada</t>
        </is>
      </c>
      <c r="H120" t="inlineStr">
        <is>
          <t>Instagram</t>
        </is>
      </c>
      <c r="I120" t="inlineStr">
        <is>
          <t>Alta</t>
        </is>
      </c>
      <c r="J120" t="inlineStr">
        <is>
          <t>Junio</t>
        </is>
      </c>
      <c r="K120" t="inlineStr">
        <is>
          <t>Interesada en vestido floral</t>
        </is>
      </c>
      <c r="L120" t="inlineStr">
        <is>
          <t>24/06/2026</t>
        </is>
      </c>
    </row>
    <row r="121">
      <c r="A121" t="inlineStr">
        <is>
          <t>L1119</t>
        </is>
      </c>
      <c r="B121" t="inlineStr">
        <is>
          <t>18/06/2026</t>
        </is>
      </c>
      <c r="C121" t="inlineStr">
        <is>
          <t>Fernanda Panchana</t>
        </is>
      </c>
      <c r="D121" t="inlineStr">
        <is>
          <t>Kitty Boutique</t>
        </is>
      </c>
      <c r="E121" t="inlineStr">
        <is>
          <t>Blazer Mujer</t>
        </is>
      </c>
      <c r="F121" t="n">
        <v>11.73</v>
      </c>
      <c r="G121" t="inlineStr">
        <is>
          <t>Vendido</t>
        </is>
      </c>
      <c r="H121" t="inlineStr">
        <is>
          <t>Facebook</t>
        </is>
      </c>
      <c r="I121" t="inlineStr">
        <is>
          <t>Baja</t>
        </is>
      </c>
      <c r="J121" t="inlineStr">
        <is>
          <t>Junio</t>
        </is>
      </c>
      <c r="K121" t="inlineStr">
        <is>
          <t>Interesada en blazer mujer</t>
        </is>
      </c>
      <c r="L121" t="inlineStr">
        <is>
          <t>04/07/2026</t>
        </is>
      </c>
    </row>
    <row r="122">
      <c r="A122" t="inlineStr">
        <is>
          <t>L1120</t>
        </is>
      </c>
      <c r="B122" t="inlineStr">
        <is>
          <t>20/06/2026</t>
        </is>
      </c>
      <c r="C122" t="inlineStr">
        <is>
          <t>Paola Reyes</t>
        </is>
      </c>
      <c r="D122" t="inlineStr">
        <is>
          <t>Kitty Boutique</t>
        </is>
      </c>
      <c r="E122" t="inlineStr">
        <is>
          <t>Blusa Casual</t>
        </is>
      </c>
      <c r="F122" t="n">
        <v>15.46</v>
      </c>
      <c r="G122" t="inlineStr">
        <is>
          <t>Contactada</t>
        </is>
      </c>
      <c r="H122" t="inlineStr">
        <is>
          <t>Facebook</t>
        </is>
      </c>
      <c r="I122" t="inlineStr">
        <is>
          <t>Baja</t>
        </is>
      </c>
      <c r="J122" t="inlineStr">
        <is>
          <t>Junio</t>
        </is>
      </c>
      <c r="K122" t="inlineStr">
        <is>
          <t>Interesada en blusa casual</t>
        </is>
      </c>
      <c r="L122" t="inlineStr">
        <is>
          <t>14/07/2026</t>
        </is>
      </c>
    </row>
    <row r="123">
      <c r="A123" t="inlineStr">
        <is>
          <t>L1121</t>
        </is>
      </c>
      <c r="B123" t="inlineStr">
        <is>
          <t>22/06/2026</t>
        </is>
      </c>
      <c r="C123" t="inlineStr">
        <is>
          <t>Daniela Cedeño</t>
        </is>
      </c>
      <c r="D123" t="inlineStr">
        <is>
          <t>Kitty Boutique</t>
        </is>
      </c>
      <c r="E123" t="inlineStr">
        <is>
          <t>Blusa Casual</t>
        </is>
      </c>
      <c r="F123" t="n">
        <v>17.08</v>
      </c>
      <c r="G123" t="inlineStr">
        <is>
          <t>En negociación</t>
        </is>
      </c>
      <c r="H123" t="inlineStr">
        <is>
          <t>Instagram</t>
        </is>
      </c>
      <c r="I123" t="inlineStr">
        <is>
          <t>Media</t>
        </is>
      </c>
      <c r="J123" t="inlineStr">
        <is>
          <t>Junio</t>
        </is>
      </c>
      <c r="K123" t="inlineStr">
        <is>
          <t>Interesada en blusa casual</t>
        </is>
      </c>
      <c r="L123" t="inlineStr">
        <is>
          <t>07/07/2026</t>
        </is>
      </c>
    </row>
    <row r="124">
      <c r="A124" t="inlineStr">
        <is>
          <t>L1122</t>
        </is>
      </c>
      <c r="B124" t="inlineStr">
        <is>
          <t>21/06/2026</t>
        </is>
      </c>
      <c r="C124" t="inlineStr">
        <is>
          <t>Lucía Alvarado</t>
        </is>
      </c>
      <c r="D124" t="inlineStr">
        <is>
          <t>Kitty Boutique</t>
        </is>
      </c>
      <c r="E124" t="inlineStr">
        <is>
          <t>Blusa Casual</t>
        </is>
      </c>
      <c r="F124" t="n">
        <v>15.66</v>
      </c>
      <c r="G124" t="inlineStr">
        <is>
          <t>Apartado</t>
        </is>
      </c>
      <c r="H124" t="inlineStr">
        <is>
          <t>Página Web</t>
        </is>
      </c>
      <c r="I124" t="inlineStr">
        <is>
          <t>Alta</t>
        </is>
      </c>
      <c r="J124" t="inlineStr">
        <is>
          <t>Junio</t>
        </is>
      </c>
      <c r="K124" t="inlineStr">
        <is>
          <t>Interesada en blusa casual</t>
        </is>
      </c>
      <c r="L124" t="inlineStr">
        <is>
          <t>04/07/2026</t>
        </is>
      </c>
    </row>
    <row r="125">
      <c r="A125" t="inlineStr">
        <is>
          <t>L1123</t>
        </is>
      </c>
      <c r="B125" t="inlineStr">
        <is>
          <t>24/06/2026</t>
        </is>
      </c>
      <c r="C125" t="inlineStr">
        <is>
          <t>Paola Gómez</t>
        </is>
      </c>
      <c r="D125" t="inlineStr">
        <is>
          <t>Kitty Boutique</t>
        </is>
      </c>
      <c r="E125" t="inlineStr">
        <is>
          <t>Blazer Mujer</t>
        </is>
      </c>
      <c r="F125" t="n">
        <v>16.23</v>
      </c>
      <c r="G125" t="inlineStr">
        <is>
          <t>Pendiente</t>
        </is>
      </c>
      <c r="H125" t="inlineStr">
        <is>
          <t>TikTok</t>
        </is>
      </c>
      <c r="I125" t="inlineStr">
        <is>
          <t>Alta</t>
        </is>
      </c>
      <c r="J125" t="inlineStr">
        <is>
          <t>Junio</t>
        </is>
      </c>
      <c r="K125" t="inlineStr">
        <is>
          <t>Interesada en blazer mujer</t>
        </is>
      </c>
      <c r="L125" t="inlineStr">
        <is>
          <t>15/07/2026</t>
        </is>
      </c>
    </row>
    <row r="126">
      <c r="A126" t="inlineStr">
        <is>
          <t>L1124</t>
        </is>
      </c>
      <c r="B126" t="inlineStr">
        <is>
          <t>26/06/2026</t>
        </is>
      </c>
      <c r="C126" t="inlineStr">
        <is>
          <t>Nicole Tomalá</t>
        </is>
      </c>
      <c r="D126" t="inlineStr">
        <is>
          <t>Kitty Boutique</t>
        </is>
      </c>
      <c r="E126" t="inlineStr">
        <is>
          <t>Vestido Floral</t>
        </is>
      </c>
      <c r="F126" t="n">
        <v>20.96</v>
      </c>
      <c r="G126" t="inlineStr">
        <is>
          <t>Contactada</t>
        </is>
      </c>
      <c r="H126" t="inlineStr">
        <is>
          <t>Facebook</t>
        </is>
      </c>
      <c r="I126" t="inlineStr">
        <is>
          <t>Media</t>
        </is>
      </c>
      <c r="J126" t="inlineStr">
        <is>
          <t>Junio</t>
        </is>
      </c>
      <c r="K126" t="inlineStr">
        <is>
          <t>Interesada en vestido floral</t>
        </is>
      </c>
      <c r="L126" t="inlineStr">
        <is>
          <t>03/07/2026</t>
        </is>
      </c>
    </row>
    <row r="127">
      <c r="A127" t="inlineStr">
        <is>
          <t>L1125</t>
        </is>
      </c>
      <c r="B127" t="inlineStr">
        <is>
          <t>27/06/2026</t>
        </is>
      </c>
      <c r="C127" t="inlineStr">
        <is>
          <t>Andrea Reyes</t>
        </is>
      </c>
      <c r="D127" t="inlineStr">
        <is>
          <t>Kitty Boutique</t>
        </is>
      </c>
      <c r="E127" t="inlineStr">
        <is>
          <t>Vestido Floral</t>
        </is>
      </c>
      <c r="F127" t="n">
        <v>13.53</v>
      </c>
      <c r="G127" t="inlineStr">
        <is>
          <t>Pendiente</t>
        </is>
      </c>
      <c r="H127" t="inlineStr">
        <is>
          <t>Facebook</t>
        </is>
      </c>
      <c r="I127" t="inlineStr">
        <is>
          <t>Baja</t>
        </is>
      </c>
      <c r="J127" t="inlineStr">
        <is>
          <t>Junio</t>
        </is>
      </c>
      <c r="K127" t="inlineStr">
        <is>
          <t>Interesada en vestido floral</t>
        </is>
      </c>
      <c r="L127" t="inlineStr">
        <is>
          <t>22/07/2026</t>
        </is>
      </c>
    </row>
    <row r="128">
      <c r="A128" t="inlineStr">
        <is>
          <t>L1126</t>
        </is>
      </c>
      <c r="B128" t="inlineStr">
        <is>
          <t>29/06/2026</t>
        </is>
      </c>
      <c r="C128" t="inlineStr">
        <is>
          <t>Mayra Rodríguez</t>
        </is>
      </c>
      <c r="D128" t="inlineStr">
        <is>
          <t>Kitty Boutique</t>
        </is>
      </c>
      <c r="E128" t="inlineStr">
        <is>
          <t>Pantalón Jeans</t>
        </is>
      </c>
      <c r="F128" t="n">
        <v>10.84</v>
      </c>
      <c r="G128" t="inlineStr">
        <is>
          <t>Pendiente</t>
        </is>
      </c>
      <c r="H128" t="inlineStr">
        <is>
          <t>WhatsApp</t>
        </is>
      </c>
      <c r="I128" t="inlineStr">
        <is>
          <t>Media</t>
        </is>
      </c>
      <c r="J128" t="inlineStr">
        <is>
          <t>Junio</t>
        </is>
      </c>
      <c r="K128" t="inlineStr">
        <is>
          <t>Interesada en pantalón jeans</t>
        </is>
      </c>
      <c r="L128" t="inlineStr">
        <is>
          <t>17/07/2026</t>
        </is>
      </c>
    </row>
    <row r="129">
      <c r="A129" t="inlineStr">
        <is>
          <t>L1127</t>
        </is>
      </c>
      <c r="B129" t="inlineStr">
        <is>
          <t>28/06/2026</t>
        </is>
      </c>
      <c r="C129" t="inlineStr">
        <is>
          <t>Liseth Gómez</t>
        </is>
      </c>
      <c r="D129" t="inlineStr">
        <is>
          <t>Kitty Boutique</t>
        </is>
      </c>
      <c r="E129" t="inlineStr">
        <is>
          <t>Vestido Floral</t>
        </is>
      </c>
      <c r="F129" t="n">
        <v>14.71</v>
      </c>
      <c r="G129" t="inlineStr">
        <is>
          <t>Pendiente</t>
        </is>
      </c>
      <c r="H129" t="inlineStr">
        <is>
          <t>WhatsApp</t>
        </is>
      </c>
      <c r="I129" t="inlineStr">
        <is>
          <t>Media</t>
        </is>
      </c>
      <c r="J129" t="inlineStr">
        <is>
          <t>Junio</t>
        </is>
      </c>
      <c r="K129" t="inlineStr">
        <is>
          <t>Interesada en vestido floral</t>
        </is>
      </c>
      <c r="L129" t="inlineStr">
        <is>
          <t>03/07/2026</t>
        </is>
      </c>
    </row>
  </sheetData>
  <conditionalFormatting sqref="G2:G200">
    <cfRule type="cellIs" priority="1" operator="equal" dxfId="0">
      <formula>"Pendiente"</formula>
    </cfRule>
    <cfRule type="cellIs" priority="2" operator="equal" dxfId="1">
      <formula>"Contactada"</formula>
    </cfRule>
    <cfRule type="cellIs" priority="3" operator="equal" dxfId="2">
      <formula>"En negociación"</formula>
    </cfRule>
    <cfRule type="cellIs" priority="4" operator="equal" dxfId="3">
      <formula>"Apartado"</formula>
    </cfRule>
    <cfRule type="cellIs" priority="5" operator="equal" dxfId="4">
      <formula>"Vendido"</formula>
    </cfRule>
  </conditionalFormatting>
  <dataValidations count="5">
    <dataValidation sqref="E2:E200" showDropDown="0" showInputMessage="0" showErrorMessage="0" allowBlank="1" type="list">
      <formula1>"Falda Jeans,Top Elegante,Accesorios,Conjunto Casual,Bolso Fashion,Blazer Mujer,Vestido Floral,Blusa Casual,Pantalón Jeans,Blusa Suplex"</formula1>
    </dataValidation>
    <dataValidation sqref="G2:G200" showDropDown="0" showInputMessage="0" showErrorMessage="0" allowBlank="1" type="list">
      <formula1>"Pendiente,Contactada,En negociación,Apartado,Vendido"</formula1>
    </dataValidation>
    <dataValidation sqref="H2:H200" showDropDown="0" showInputMessage="0" showErrorMessage="0" allowBlank="1" type="list">
      <formula1>"Página Web,Instagram,Facebook,TikTok,Referido,WhatsApp"</formula1>
    </dataValidation>
    <dataValidation sqref="I2:I200" showDropDown="0" showInputMessage="0" showErrorMessage="0" allowBlank="1" type="list">
      <formula1>"Alta,Media,Baja"</formula1>
    </dataValidation>
    <dataValidation sqref="J2:J200" showDropDown="0" showInputMessage="0" showErrorMessage="0" allowBlank="1" type="list">
      <formula1>"Enero,Febrero,Marzo,Abril,Mayo,Junio"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2" t="inlineStr">
        <is>
          <t>KITTY BOUTIQUE — DASHBOARD</t>
        </is>
      </c>
    </row>
    <row r="2">
      <c r="N2" s="3" t="inlineStr">
        <is>
          <t>Tabla auxiliar — Por Estado</t>
        </is>
      </c>
      <c r="Q2" s="3" t="inlineStr">
        <is>
          <t>Tabla auxiliar — Por Producto</t>
        </is>
      </c>
    </row>
    <row r="3">
      <c r="A3" s="3" t="inlineStr">
        <is>
          <t>TOTAL LEADS</t>
        </is>
      </c>
      <c r="C3" s="3" t="inlineStr">
        <is>
          <t>VALOR DEL PIPELINE</t>
        </is>
      </c>
      <c r="E3" s="3" t="inlineStr">
        <is>
          <t>INGRESOS GANADOS</t>
        </is>
      </c>
      <c r="G3" s="3" t="inlineStr">
        <is>
          <t>TASA DE CONVERSIÓN</t>
        </is>
      </c>
      <c r="N3" t="inlineStr">
        <is>
          <t>Estado</t>
        </is>
      </c>
      <c r="O3" t="inlineStr">
        <is>
          <t>Cantidad</t>
        </is>
      </c>
      <c r="Q3" t="inlineStr">
        <is>
          <t>Producto</t>
        </is>
      </c>
      <c r="R3" t="inlineStr">
        <is>
          <t>Cantidad</t>
        </is>
      </c>
    </row>
    <row r="4">
      <c r="A4" s="4">
        <f>COUNTA(Leads!A2:A129)</f>
        <v/>
      </c>
      <c r="C4" s="5">
        <f>SUMIFS(Leads!F2:F129,Leads!G2:G129,"&lt;&gt;Vendido")</f>
        <v/>
      </c>
      <c r="E4" s="5">
        <f>SUMIFS(Leads!F2:F129,Leads!G2:G129,"Vendido")</f>
        <v/>
      </c>
      <c r="G4" s="6">
        <f>COUNTIF(Leads!G2:G129,"Vendido")/COUNTA(Leads!A2:A129)</f>
        <v/>
      </c>
      <c r="N4" t="inlineStr">
        <is>
          <t>Pendiente</t>
        </is>
      </c>
      <c r="O4">
        <f>COUNTIF(Leads!$G$2:$G$129,N4)</f>
        <v/>
      </c>
      <c r="Q4" t="inlineStr">
        <is>
          <t>Falda Jeans</t>
        </is>
      </c>
      <c r="R4">
        <f>COUNTIF(Leads!$E$2:$E$129,Q4)</f>
        <v/>
      </c>
    </row>
    <row r="5">
      <c r="N5" t="inlineStr">
        <is>
          <t>Contactada</t>
        </is>
      </c>
      <c r="O5">
        <f>COUNTIF(Leads!$G$2:$G$129,N5)</f>
        <v/>
      </c>
      <c r="Q5" t="inlineStr">
        <is>
          <t>Top Elegante</t>
        </is>
      </c>
      <c r="R5">
        <f>COUNTIF(Leads!$E$2:$E$129,Q5)</f>
        <v/>
      </c>
    </row>
    <row r="6">
      <c r="N6" t="inlineStr">
        <is>
          <t>En negociación</t>
        </is>
      </c>
      <c r="O6">
        <f>COUNTIF(Leads!$G$2:$G$129,N6)</f>
        <v/>
      </c>
      <c r="Q6" t="inlineStr">
        <is>
          <t>Accesorios</t>
        </is>
      </c>
      <c r="R6">
        <f>COUNTIF(Leads!$E$2:$E$129,Q6)</f>
        <v/>
      </c>
    </row>
    <row r="7">
      <c r="N7" t="inlineStr">
        <is>
          <t>Apartado</t>
        </is>
      </c>
      <c r="O7">
        <f>COUNTIF(Leads!$G$2:$G$129,N7)</f>
        <v/>
      </c>
      <c r="Q7" t="inlineStr">
        <is>
          <t>Conjunto Casual</t>
        </is>
      </c>
      <c r="R7">
        <f>COUNTIF(Leads!$E$2:$E$129,Q7)</f>
        <v/>
      </c>
    </row>
    <row r="8">
      <c r="N8" t="inlineStr">
        <is>
          <t>Vendido</t>
        </is>
      </c>
      <c r="O8">
        <f>COUNTIF(Leads!$G$2:$G$129,N8)</f>
        <v/>
      </c>
      <c r="Q8" t="inlineStr">
        <is>
          <t>Bolso Fashion</t>
        </is>
      </c>
      <c r="R8">
        <f>COUNTIF(Leads!$E$2:$E$129,Q8)</f>
        <v/>
      </c>
    </row>
    <row r="9">
      <c r="Q9" t="inlineStr">
        <is>
          <t>Blazer Mujer</t>
        </is>
      </c>
      <c r="R9">
        <f>COUNTIF(Leads!$E$2:$E$129,Q9)</f>
        <v/>
      </c>
    </row>
    <row r="10">
      <c r="Q10" t="inlineStr">
        <is>
          <t>Vestido Floral</t>
        </is>
      </c>
      <c r="R10">
        <f>COUNTIF(Leads!$E$2:$E$129,Q10)</f>
        <v/>
      </c>
    </row>
    <row r="11">
      <c r="N11" s="3" t="inlineStr">
        <is>
          <t>Tabla auxiliar — Por Fuente</t>
        </is>
      </c>
      <c r="Q11" t="inlineStr">
        <is>
          <t>Blusa Casual</t>
        </is>
      </c>
      <c r="R11">
        <f>COUNTIF(Leads!$E$2:$E$129,Q11)</f>
        <v/>
      </c>
    </row>
    <row r="12">
      <c r="N12" t="inlineStr">
        <is>
          <t>Fuente</t>
        </is>
      </c>
      <c r="O12" t="inlineStr">
        <is>
          <t>Cantidad</t>
        </is>
      </c>
      <c r="Q12" t="inlineStr">
        <is>
          <t>Pantalón Jeans</t>
        </is>
      </c>
      <c r="R12">
        <f>COUNTIF(Leads!$E$2:$E$129,Q12)</f>
        <v/>
      </c>
    </row>
    <row r="13">
      <c r="N13" t="inlineStr">
        <is>
          <t>Página Web</t>
        </is>
      </c>
      <c r="O13">
        <f>COUNTIF(Leads!$H$2:$H$129,N13)</f>
        <v/>
      </c>
      <c r="Q13" t="inlineStr">
        <is>
          <t>Blusa Suplex</t>
        </is>
      </c>
      <c r="R13">
        <f>COUNTIF(Leads!$E$2:$E$129,Q13)</f>
        <v/>
      </c>
    </row>
    <row r="14">
      <c r="N14" t="inlineStr">
        <is>
          <t>Instagram</t>
        </is>
      </c>
      <c r="O14">
        <f>COUNTIF(Leads!$H$2:$H$129,N14)</f>
        <v/>
      </c>
    </row>
    <row r="15">
      <c r="N15" t="inlineStr">
        <is>
          <t>Facebook</t>
        </is>
      </c>
      <c r="O15">
        <f>COUNTIF(Leads!$H$2:$H$129,N15)</f>
        <v/>
      </c>
      <c r="Q15" s="3" t="inlineStr">
        <is>
          <t>Tabla auxiliar — Valor por Mes</t>
        </is>
      </c>
    </row>
    <row r="16">
      <c r="N16" t="inlineStr">
        <is>
          <t>TikTok</t>
        </is>
      </c>
      <c r="O16">
        <f>COUNTIF(Leads!$H$2:$H$129,N16)</f>
        <v/>
      </c>
      <c r="Q16" t="inlineStr">
        <is>
          <t>Mes</t>
        </is>
      </c>
      <c r="R16" t="inlineStr">
        <is>
          <t>Valor USD</t>
        </is>
      </c>
    </row>
    <row r="17">
      <c r="N17" t="inlineStr">
        <is>
          <t>Referido</t>
        </is>
      </c>
      <c r="O17">
        <f>COUNTIF(Leads!$H$2:$H$129,N17)</f>
        <v/>
      </c>
      <c r="Q17" t="inlineStr">
        <is>
          <t>Enero</t>
        </is>
      </c>
      <c r="R17" s="7">
        <f>SUMIFS(Leads!$F$2:$F$129,Leads!$J$2:$J$129,Q17)</f>
        <v/>
      </c>
    </row>
    <row r="18">
      <c r="N18" t="inlineStr">
        <is>
          <t>WhatsApp</t>
        </is>
      </c>
      <c r="O18">
        <f>COUNTIF(Leads!$H$2:$H$129,N18)</f>
        <v/>
      </c>
      <c r="Q18" t="inlineStr">
        <is>
          <t>Febrero</t>
        </is>
      </c>
      <c r="R18" s="7">
        <f>SUMIFS(Leads!$F$2:$F$129,Leads!$J$2:$J$129,Q18)</f>
        <v/>
      </c>
    </row>
    <row r="19">
      <c r="Q19" t="inlineStr">
        <is>
          <t>Marzo</t>
        </is>
      </c>
      <c r="R19" s="7">
        <f>SUMIFS(Leads!$F$2:$F$129,Leads!$J$2:$J$129,Q19)</f>
        <v/>
      </c>
    </row>
    <row r="20">
      <c r="Q20" t="inlineStr">
        <is>
          <t>Abril</t>
        </is>
      </c>
      <c r="R20" s="7">
        <f>SUMIFS(Leads!$F$2:$F$129,Leads!$J$2:$J$129,Q20)</f>
        <v/>
      </c>
    </row>
    <row r="21">
      <c r="Q21" t="inlineStr">
        <is>
          <t>Mayo</t>
        </is>
      </c>
      <c r="R21" s="7">
        <f>SUMIFS(Leads!$F$2:$F$129,Leads!$J$2:$J$129,Q21)</f>
        <v/>
      </c>
    </row>
    <row r="22">
      <c r="Q22" t="inlineStr">
        <is>
          <t>Junio</t>
        </is>
      </c>
      <c r="R22" s="7">
        <f>SUMIFS(Leads!$F$2:$F$129,Leads!$J$2:$J$129,Q22)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2026-06-25T06:26:03Z</dcterms:created>
  <dcterms:modified xmlns:dcterms="http://purl.org/dc/terms/" xmlns:xsi="http://www.w3.org/2001/XMLSchema-instance" xsi:type="dcterms:W3CDTF">2026-06-25T06:26:03Z</dcterms:modified>
</cp:coreProperties>
</file>